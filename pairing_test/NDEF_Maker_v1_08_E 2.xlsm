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90" yWindow="0" windowWidth="8400" windowHeight="8655" activeTab="3"/>
  </bookViews>
  <sheets>
    <sheet name="Top_page" sheetId="6" r:id="rId1"/>
    <sheet name="WiFi" sheetId="7" r:id="rId2"/>
    <sheet name="BasicTag" sheetId="10" r:id="rId3"/>
    <sheet name="Bluetooth" sheetId="11" r:id="rId4"/>
  </sheets>
  <definedNames>
    <definedName name="MJ_00" localSheetId="3">Bluetooth!$D$378</definedName>
    <definedName name="MJ_01" localSheetId="3">Bluetooth!$D$382:$D$388</definedName>
    <definedName name="MJ_02" localSheetId="3">Bluetooth!$D$392:$D$397</definedName>
    <definedName name="MJ_04" localSheetId="3">Bluetooth!$D$413:$D$429</definedName>
    <definedName name="MJ_05" localSheetId="3">Bluetooth!$D$435:$D$437</definedName>
    <definedName name="MJ_06" localSheetId="3">Bluetooth!$D$451:$D$465</definedName>
    <definedName name="MJ2_05" localSheetId="3">Bluetooth!$D$441:$D$447</definedName>
    <definedName name="MJ2_Other" localSheetId="3">Bluetooth!$G$441</definedName>
  </definedNames>
  <calcPr calcId="145621"/>
</workbook>
</file>

<file path=xl/calcChain.xml><?xml version="1.0" encoding="utf-8"?>
<calcChain xmlns="http://schemas.openxmlformats.org/spreadsheetml/2006/main">
  <c r="C204" i="10" l="1"/>
  <c r="L183" i="11" l="1"/>
  <c r="L182" i="11"/>
  <c r="L179" i="11"/>
  <c r="F317" i="11"/>
  <c r="O317" i="11" s="1"/>
  <c r="C314" i="11"/>
  <c r="L314" i="11" s="1"/>
  <c r="D314" i="11"/>
  <c r="M314" i="11" s="1"/>
  <c r="E314" i="11"/>
  <c r="N314" i="11" s="1"/>
  <c r="F314" i="11"/>
  <c r="O314" i="11" s="1"/>
  <c r="G314" i="11"/>
  <c r="P314" i="11" s="1"/>
  <c r="H314" i="11"/>
  <c r="Q314" i="11" s="1"/>
  <c r="I314" i="11"/>
  <c r="R314" i="11" s="1"/>
  <c r="J314" i="11"/>
  <c r="S314" i="11" s="1"/>
  <c r="C315" i="11"/>
  <c r="L315" i="11" s="1"/>
  <c r="D315" i="11"/>
  <c r="M315" i="11" s="1"/>
  <c r="E315" i="11"/>
  <c r="N315" i="11" s="1"/>
  <c r="F315" i="11"/>
  <c r="O315" i="11" s="1"/>
  <c r="G315" i="11"/>
  <c r="P315" i="11" s="1"/>
  <c r="H315" i="11"/>
  <c r="Q315" i="11" s="1"/>
  <c r="I315" i="11"/>
  <c r="R315" i="11" s="1"/>
  <c r="J315" i="11"/>
  <c r="S315" i="11" s="1"/>
  <c r="C316" i="11"/>
  <c r="L316" i="11" s="1"/>
  <c r="D316" i="11"/>
  <c r="M316" i="11" s="1"/>
  <c r="E316" i="11"/>
  <c r="N316" i="11" s="1"/>
  <c r="F316" i="11"/>
  <c r="O316" i="11" s="1"/>
  <c r="G316" i="11"/>
  <c r="P316" i="11" s="1"/>
  <c r="H316" i="11"/>
  <c r="Q316" i="11" s="1"/>
  <c r="I316" i="11"/>
  <c r="R316" i="11" s="1"/>
  <c r="J316" i="11"/>
  <c r="S316" i="11" s="1"/>
  <c r="C317" i="11"/>
  <c r="L317" i="11" s="1"/>
  <c r="D317" i="11"/>
  <c r="M317" i="11" s="1"/>
  <c r="E317" i="11"/>
  <c r="N317" i="11" s="1"/>
  <c r="G317" i="11"/>
  <c r="P317" i="11" s="1"/>
  <c r="H317" i="11"/>
  <c r="Q317" i="11" s="1"/>
  <c r="I317" i="11"/>
  <c r="R317" i="11" s="1"/>
  <c r="J317" i="11"/>
  <c r="S317" i="11" s="1"/>
  <c r="C307" i="11"/>
  <c r="E308" i="11" s="1"/>
  <c r="N308" i="11" s="1"/>
  <c r="L177" i="11"/>
  <c r="L175" i="11"/>
  <c r="L173" i="11"/>
  <c r="L171" i="11"/>
  <c r="L168" i="11"/>
  <c r="H321" i="11"/>
  <c r="C309" i="11" l="1"/>
  <c r="L309" i="11" s="1"/>
  <c r="G311" i="11"/>
  <c r="P311" i="11" s="1"/>
  <c r="J310" i="11"/>
  <c r="S310" i="11" s="1"/>
  <c r="F310" i="11"/>
  <c r="O310" i="11" s="1"/>
  <c r="I309" i="11"/>
  <c r="R309" i="11" s="1"/>
  <c r="E309" i="11"/>
  <c r="N309" i="11" s="1"/>
  <c r="H308" i="11"/>
  <c r="Q308" i="11" s="1"/>
  <c r="D308" i="11"/>
  <c r="M308" i="11" s="1"/>
  <c r="C308" i="11"/>
  <c r="L308" i="11" s="1"/>
  <c r="J311" i="11"/>
  <c r="S311" i="11" s="1"/>
  <c r="F311" i="11"/>
  <c r="O311" i="11" s="1"/>
  <c r="I310" i="11"/>
  <c r="R310" i="11" s="1"/>
  <c r="E310" i="11"/>
  <c r="N310" i="11" s="1"/>
  <c r="H309" i="11"/>
  <c r="Q309" i="11" s="1"/>
  <c r="D309" i="11"/>
  <c r="M309" i="11" s="1"/>
  <c r="G308" i="11"/>
  <c r="P308" i="11" s="1"/>
  <c r="C311" i="11"/>
  <c r="L311" i="11" s="1"/>
  <c r="I311" i="11"/>
  <c r="R311" i="11" s="1"/>
  <c r="E311" i="11"/>
  <c r="N311" i="11" s="1"/>
  <c r="H310" i="11"/>
  <c r="Q310" i="11" s="1"/>
  <c r="D310" i="11"/>
  <c r="M310" i="11" s="1"/>
  <c r="G309" i="11"/>
  <c r="P309" i="11" s="1"/>
  <c r="J308" i="11"/>
  <c r="S308" i="11" s="1"/>
  <c r="F308" i="11"/>
  <c r="O308" i="11" s="1"/>
  <c r="C310" i="11"/>
  <c r="L310" i="11" s="1"/>
  <c r="H311" i="11"/>
  <c r="Q311" i="11" s="1"/>
  <c r="D311" i="11"/>
  <c r="M311" i="11" s="1"/>
  <c r="G310" i="11"/>
  <c r="P310" i="11" s="1"/>
  <c r="J309" i="11"/>
  <c r="S309" i="11" s="1"/>
  <c r="F309" i="11"/>
  <c r="O309" i="11" s="1"/>
  <c r="I308" i="11"/>
  <c r="R308" i="11" s="1"/>
  <c r="L163" i="11"/>
  <c r="L164" i="11"/>
  <c r="L165" i="11"/>
  <c r="L162" i="11"/>
  <c r="L160" i="11"/>
  <c r="L159" i="11"/>
  <c r="L149" i="11"/>
  <c r="D284" i="11"/>
  <c r="E284" i="11" s="1"/>
  <c r="L152" i="11"/>
  <c r="E260" i="11"/>
  <c r="O275" i="11" l="1"/>
  <c r="C152" i="11" s="1"/>
  <c r="L141" i="11"/>
  <c r="L134" i="11"/>
  <c r="C265" i="11"/>
  <c r="L265" i="11" s="1"/>
  <c r="C137" i="11" s="1"/>
  <c r="D265" i="11"/>
  <c r="M265" i="11" s="1"/>
  <c r="D137" i="11" s="1"/>
  <c r="E265" i="11"/>
  <c r="N265" i="11" s="1"/>
  <c r="E137" i="11" s="1"/>
  <c r="F265" i="11"/>
  <c r="O265" i="11" s="1"/>
  <c r="F137" i="11" s="1"/>
  <c r="G265" i="11"/>
  <c r="P265" i="11" s="1"/>
  <c r="G137" i="11" s="1"/>
  <c r="H265" i="11"/>
  <c r="Q265" i="11" s="1"/>
  <c r="H137" i="11" s="1"/>
  <c r="I265" i="11"/>
  <c r="R265" i="11" s="1"/>
  <c r="I137" i="11" s="1"/>
  <c r="J265" i="11"/>
  <c r="S265" i="11" s="1"/>
  <c r="J137" i="11" s="1"/>
  <c r="C266" i="11"/>
  <c r="L266" i="11" s="1"/>
  <c r="C138" i="11" s="1"/>
  <c r="D266" i="11"/>
  <c r="M266" i="11" s="1"/>
  <c r="D138" i="11" s="1"/>
  <c r="E266" i="11"/>
  <c r="N266" i="11" s="1"/>
  <c r="E138" i="11" s="1"/>
  <c r="F266" i="11"/>
  <c r="O266" i="11" s="1"/>
  <c r="F138" i="11" s="1"/>
  <c r="G266" i="11"/>
  <c r="P266" i="11" s="1"/>
  <c r="G138" i="11" s="1"/>
  <c r="H266" i="11"/>
  <c r="Q266" i="11" s="1"/>
  <c r="H138" i="11" s="1"/>
  <c r="I266" i="11"/>
  <c r="R266" i="11" s="1"/>
  <c r="I138" i="11" s="1"/>
  <c r="J266" i="11"/>
  <c r="S266" i="11" s="1"/>
  <c r="J138" i="11" s="1"/>
  <c r="C267" i="11"/>
  <c r="L267" i="11" s="1"/>
  <c r="C139" i="11" s="1"/>
  <c r="D267" i="11"/>
  <c r="M267" i="11" s="1"/>
  <c r="D139" i="11" s="1"/>
  <c r="E267" i="11"/>
  <c r="N267" i="11" s="1"/>
  <c r="E139" i="11" s="1"/>
  <c r="F267" i="11"/>
  <c r="O267" i="11" s="1"/>
  <c r="F139" i="11" s="1"/>
  <c r="G267" i="11"/>
  <c r="P267" i="11" s="1"/>
  <c r="G139" i="11" s="1"/>
  <c r="H267" i="11"/>
  <c r="Q267" i="11" s="1"/>
  <c r="H139" i="11" s="1"/>
  <c r="I267" i="11"/>
  <c r="R267" i="11" s="1"/>
  <c r="I139" i="11" s="1"/>
  <c r="J267" i="11"/>
  <c r="S267" i="11" s="1"/>
  <c r="J139" i="11" s="1"/>
  <c r="D264" i="11"/>
  <c r="M264" i="11" s="1"/>
  <c r="D136" i="11" s="1"/>
  <c r="E264" i="11"/>
  <c r="N264" i="11" s="1"/>
  <c r="E136" i="11" s="1"/>
  <c r="F264" i="11"/>
  <c r="O264" i="11" s="1"/>
  <c r="F136" i="11" s="1"/>
  <c r="G264" i="11"/>
  <c r="P264" i="11" s="1"/>
  <c r="G136" i="11" s="1"/>
  <c r="H264" i="11"/>
  <c r="Q264" i="11" s="1"/>
  <c r="H136" i="11" s="1"/>
  <c r="I264" i="11"/>
  <c r="R264" i="11" s="1"/>
  <c r="I136" i="11" s="1"/>
  <c r="J264" i="11"/>
  <c r="S264" i="11" s="1"/>
  <c r="J136" i="11" s="1"/>
  <c r="C264" i="11"/>
  <c r="L264" i="11" s="1"/>
  <c r="K57" i="11"/>
  <c r="D298" i="11" s="1"/>
  <c r="K53" i="11"/>
  <c r="D297" i="11" s="1"/>
  <c r="K49" i="11"/>
  <c r="D296" i="11" s="1"/>
  <c r="G58" i="11"/>
  <c r="G54" i="11"/>
  <c r="G50" i="11"/>
  <c r="G289" i="11"/>
  <c r="E279" i="11"/>
  <c r="F328" i="11" s="1"/>
  <c r="G32" i="11"/>
  <c r="K31" i="11"/>
  <c r="E282" i="11" s="1"/>
  <c r="C136" i="11" l="1"/>
  <c r="F343" i="11"/>
  <c r="F297" i="11"/>
  <c r="I297" i="11" s="1"/>
  <c r="D175" i="11" s="1"/>
  <c r="E297" i="11"/>
  <c r="H297" i="11" s="1"/>
  <c r="C175" i="11" s="1"/>
  <c r="E298" i="11"/>
  <c r="H298" i="11" s="1"/>
  <c r="C177" i="11" s="1"/>
  <c r="F298" i="11"/>
  <c r="I298" i="11" s="1"/>
  <c r="D177" i="11" s="1"/>
  <c r="E296" i="11"/>
  <c r="H296" i="11" s="1"/>
  <c r="C173" i="11" s="1"/>
  <c r="F296" i="11"/>
  <c r="I296" i="11" s="1"/>
  <c r="D173" i="11" s="1"/>
  <c r="E291" i="11"/>
  <c r="F329" i="11" s="1"/>
  <c r="E293" i="11"/>
  <c r="C171" i="11" s="1"/>
  <c r="G284" i="11"/>
  <c r="C160" i="11" s="1"/>
  <c r="I282" i="11"/>
  <c r="E166" i="11" s="1"/>
  <c r="G286" i="11"/>
  <c r="C162" i="11" s="1"/>
  <c r="E303" i="11"/>
  <c r="K65" i="11"/>
  <c r="D305" i="11" s="1"/>
  <c r="E301" i="11"/>
  <c r="G35" i="11"/>
  <c r="E305" i="11" l="1"/>
  <c r="C182" i="11" s="1"/>
  <c r="W308" i="11"/>
  <c r="W314" i="11" s="1"/>
  <c r="E184" i="11" s="1"/>
  <c r="AA308" i="11"/>
  <c r="AA314" i="11" s="1"/>
  <c r="I184" i="11" s="1"/>
  <c r="X309" i="11"/>
  <c r="AB309" i="11"/>
  <c r="AB315" i="11" s="1"/>
  <c r="J185" i="11" s="1"/>
  <c r="Y310" i="11"/>
  <c r="V311" i="11"/>
  <c r="Z311" i="11"/>
  <c r="U310" i="11"/>
  <c r="U316" i="11" s="1"/>
  <c r="C186" i="11" s="1"/>
  <c r="X308" i="11"/>
  <c r="X314" i="11" s="1"/>
  <c r="F184" i="11" s="1"/>
  <c r="AB308" i="11"/>
  <c r="Y309" i="11"/>
  <c r="Y315" i="11" s="1"/>
  <c r="G185" i="11" s="1"/>
  <c r="Z310" i="11"/>
  <c r="Z316" i="11" s="1"/>
  <c r="H186" i="11" s="1"/>
  <c r="AA311" i="11"/>
  <c r="AA317" i="11" s="1"/>
  <c r="I187" i="11" s="1"/>
  <c r="Y308" i="11"/>
  <c r="Y314" i="11" s="1"/>
  <c r="G184" i="11" s="1"/>
  <c r="V309" i="11"/>
  <c r="V315" i="11" s="1"/>
  <c r="D185" i="11" s="1"/>
  <c r="Z309" i="11"/>
  <c r="Z315" i="11" s="1"/>
  <c r="H185" i="11" s="1"/>
  <c r="W310" i="11"/>
  <c r="AA310" i="11"/>
  <c r="AA316" i="11" s="1"/>
  <c r="I186" i="11" s="1"/>
  <c r="X311" i="11"/>
  <c r="AB311" i="11"/>
  <c r="AB317" i="11" s="1"/>
  <c r="J187" i="11" s="1"/>
  <c r="U308" i="11"/>
  <c r="U314" i="11" s="1"/>
  <c r="C184" i="11" s="1"/>
  <c r="V308" i="11"/>
  <c r="V314" i="11" s="1"/>
  <c r="D184" i="11" s="1"/>
  <c r="Z308" i="11"/>
  <c r="Z314" i="11" s="1"/>
  <c r="H184" i="11" s="1"/>
  <c r="W309" i="11"/>
  <c r="W315" i="11" s="1"/>
  <c r="E185" i="11" s="1"/>
  <c r="AA309" i="11"/>
  <c r="AA315" i="11" s="1"/>
  <c r="I185" i="11" s="1"/>
  <c r="X310" i="11"/>
  <c r="AB310" i="11"/>
  <c r="AB316" i="11" s="1"/>
  <c r="J186" i="11" s="1"/>
  <c r="Y311" i="11"/>
  <c r="Y317" i="11" s="1"/>
  <c r="G187" i="11" s="1"/>
  <c r="U309" i="11"/>
  <c r="U315" i="11" s="1"/>
  <c r="C185" i="11" s="1"/>
  <c r="V310" i="11"/>
  <c r="V316" i="11" s="1"/>
  <c r="D186" i="11" s="1"/>
  <c r="W311" i="11"/>
  <c r="U311" i="11"/>
  <c r="U317" i="11" s="1"/>
  <c r="C187" i="11" s="1"/>
  <c r="W316" i="11"/>
  <c r="E186" i="11" s="1"/>
  <c r="X316" i="11"/>
  <c r="F186" i="11" s="1"/>
  <c r="Z317" i="11"/>
  <c r="H187" i="11" s="1"/>
  <c r="X315" i="11"/>
  <c r="F185" i="11" s="1"/>
  <c r="AB314" i="11"/>
  <c r="J184" i="11" s="1"/>
  <c r="W317" i="11"/>
  <c r="E187" i="11" s="1"/>
  <c r="Y316" i="11"/>
  <c r="G186" i="11" s="1"/>
  <c r="V317" i="11"/>
  <c r="D187" i="11" s="1"/>
  <c r="X317" i="11"/>
  <c r="F187" i="11" s="1"/>
  <c r="G291" i="11"/>
  <c r="C169" i="11" s="1"/>
  <c r="L169" i="11"/>
  <c r="L395" i="11"/>
  <c r="L387" i="11"/>
  <c r="L386" i="11"/>
  <c r="L385" i="11"/>
  <c r="L384" i="11"/>
  <c r="L383" i="11"/>
  <c r="L382" i="11"/>
  <c r="M376" i="11"/>
  <c r="M375" i="11"/>
  <c r="K34" i="11"/>
  <c r="D282" i="11" s="1"/>
  <c r="H282" i="11" s="1"/>
  <c r="D166" i="11" s="1"/>
  <c r="C319" i="11" l="1"/>
  <c r="M396" i="11"/>
  <c r="K39" i="11" s="1"/>
  <c r="M387" i="11"/>
  <c r="K37" i="11" s="1"/>
  <c r="C269" i="11"/>
  <c r="L153" i="11" s="1"/>
  <c r="C256" i="11"/>
  <c r="C255" i="11"/>
  <c r="C254" i="11"/>
  <c r="C253" i="11"/>
  <c r="C252" i="11"/>
  <c r="C251" i="11"/>
  <c r="E319" i="11" l="1"/>
  <c r="F319" i="11" s="1"/>
  <c r="G319" i="11" s="1"/>
  <c r="C180" i="11" s="1"/>
  <c r="L180" i="11"/>
  <c r="D251" i="11"/>
  <c r="H147" i="11"/>
  <c r="D255" i="11"/>
  <c r="D147" i="11"/>
  <c r="D252" i="11"/>
  <c r="G147" i="11"/>
  <c r="D256" i="11"/>
  <c r="C147" i="11"/>
  <c r="D253" i="11"/>
  <c r="F147" i="11"/>
  <c r="D254" i="11"/>
  <c r="E147" i="11"/>
  <c r="F256" i="11"/>
  <c r="M39" i="11"/>
  <c r="C282" i="11" s="1"/>
  <c r="G282" i="11" s="1"/>
  <c r="C166" i="11" s="1"/>
  <c r="L77" i="10"/>
  <c r="F330" i="11" l="1"/>
  <c r="F255" i="11"/>
  <c r="L147" i="11" s="1"/>
  <c r="C349" i="11"/>
  <c r="T180" i="11" s="1"/>
  <c r="I273" i="11"/>
  <c r="R273" i="11" s="1"/>
  <c r="AA273" i="11" s="1"/>
  <c r="I157" i="11" s="1"/>
  <c r="T188" i="11"/>
  <c r="T133" i="11" l="1"/>
  <c r="T158" i="11"/>
  <c r="T172" i="11"/>
  <c r="T140" i="11"/>
  <c r="T161" i="11"/>
  <c r="T174" i="11"/>
  <c r="T151" i="11"/>
  <c r="T170" i="11"/>
  <c r="T181" i="11"/>
  <c r="T142" i="11"/>
  <c r="T167" i="11"/>
  <c r="T176" i="11"/>
  <c r="T179" i="11"/>
  <c r="T168" i="11"/>
  <c r="T183" i="11"/>
  <c r="T171" i="11"/>
  <c r="T175" i="11"/>
  <c r="T173" i="11"/>
  <c r="T182" i="11"/>
  <c r="T186" i="11"/>
  <c r="T187" i="11"/>
  <c r="T169" i="11"/>
  <c r="T185" i="11"/>
  <c r="T184" i="11"/>
  <c r="T159" i="11"/>
  <c r="T163" i="11"/>
  <c r="T165" i="11"/>
  <c r="T164" i="11"/>
  <c r="T162" i="11"/>
  <c r="T160" i="11"/>
  <c r="T166" i="11"/>
  <c r="T135" i="11"/>
  <c r="T139" i="11"/>
  <c r="T137" i="11"/>
  <c r="T134" i="11"/>
  <c r="T138" i="11"/>
  <c r="T141" i="11"/>
  <c r="T136" i="11"/>
  <c r="T153" i="11"/>
  <c r="T152" i="11"/>
  <c r="T149" i="11"/>
  <c r="T144" i="11"/>
  <c r="T112" i="11"/>
  <c r="G271" i="11"/>
  <c r="P271" i="11" s="1"/>
  <c r="Y271" i="11" s="1"/>
  <c r="G155" i="11" s="1"/>
  <c r="T102" i="11"/>
  <c r="G270" i="11"/>
  <c r="P270" i="11" s="1"/>
  <c r="Y270" i="11" s="1"/>
  <c r="G154" i="11" s="1"/>
  <c r="T126" i="11"/>
  <c r="D272" i="11"/>
  <c r="M272" i="11" s="1"/>
  <c r="V272" i="11" s="1"/>
  <c r="D156" i="11" s="1"/>
  <c r="D273" i="11"/>
  <c r="M273" i="11" s="1"/>
  <c r="V273" i="11" s="1"/>
  <c r="D157" i="11" s="1"/>
  <c r="T116" i="11"/>
  <c r="T111" i="11"/>
  <c r="T120" i="11"/>
  <c r="T143" i="11"/>
  <c r="D270" i="11"/>
  <c r="M270" i="11" s="1"/>
  <c r="V270" i="11" s="1"/>
  <c r="D154" i="11" s="1"/>
  <c r="D271" i="11"/>
  <c r="M271" i="11" s="1"/>
  <c r="V271" i="11" s="1"/>
  <c r="D155" i="11" s="1"/>
  <c r="C272" i="11"/>
  <c r="L272" i="11" s="1"/>
  <c r="U272" i="11" s="1"/>
  <c r="C156" i="11" s="1"/>
  <c r="C273" i="11"/>
  <c r="L273" i="11" s="1"/>
  <c r="U273" i="11" s="1"/>
  <c r="C157" i="11" s="1"/>
  <c r="T147" i="11"/>
  <c r="T103" i="11"/>
  <c r="T127" i="11"/>
  <c r="H270" i="11"/>
  <c r="Q270" i="11" s="1"/>
  <c r="Z270" i="11" s="1"/>
  <c r="H154" i="11" s="1"/>
  <c r="H271" i="11"/>
  <c r="Q271" i="11" s="1"/>
  <c r="Z271" i="11" s="1"/>
  <c r="H155" i="11" s="1"/>
  <c r="G272" i="11"/>
  <c r="P272" i="11" s="1"/>
  <c r="Y272" i="11" s="1"/>
  <c r="G156" i="11" s="1"/>
  <c r="G273" i="11"/>
  <c r="P273" i="11" s="1"/>
  <c r="Y273" i="11" s="1"/>
  <c r="G157" i="11" s="1"/>
  <c r="T108" i="11"/>
  <c r="T119" i="11"/>
  <c r="C270" i="11"/>
  <c r="L270" i="11" s="1"/>
  <c r="C271" i="11"/>
  <c r="L271" i="11" s="1"/>
  <c r="U271" i="11" s="1"/>
  <c r="C155" i="11" s="1"/>
  <c r="H272" i="11"/>
  <c r="Q272" i="11" s="1"/>
  <c r="Z272" i="11" s="1"/>
  <c r="H156" i="11" s="1"/>
  <c r="H273" i="11"/>
  <c r="Q273" i="11" s="1"/>
  <c r="Z273" i="11" s="1"/>
  <c r="H157" i="11" s="1"/>
  <c r="T107" i="11"/>
  <c r="T115" i="11"/>
  <c r="T146" i="11"/>
  <c r="T130" i="11"/>
  <c r="T113" i="11"/>
  <c r="T105" i="11"/>
  <c r="T148" i="11"/>
  <c r="T131" i="11"/>
  <c r="T125" i="11"/>
  <c r="T118" i="11"/>
  <c r="T114" i="11"/>
  <c r="T110" i="11"/>
  <c r="T106" i="11"/>
  <c r="T101" i="11"/>
  <c r="T124" i="11"/>
  <c r="T121" i="11"/>
  <c r="T117" i="11"/>
  <c r="T109" i="11"/>
  <c r="T100" i="11"/>
  <c r="F270" i="11"/>
  <c r="O270" i="11" s="1"/>
  <c r="X270" i="11" s="1"/>
  <c r="F154" i="11" s="1"/>
  <c r="J270" i="11"/>
  <c r="S270" i="11" s="1"/>
  <c r="AB270" i="11" s="1"/>
  <c r="J154" i="11" s="1"/>
  <c r="F271" i="11"/>
  <c r="O271" i="11" s="1"/>
  <c r="X271" i="11" s="1"/>
  <c r="F155" i="11" s="1"/>
  <c r="J271" i="11"/>
  <c r="S271" i="11" s="1"/>
  <c r="AB271" i="11" s="1"/>
  <c r="J155" i="11" s="1"/>
  <c r="F272" i="11"/>
  <c r="O272" i="11" s="1"/>
  <c r="X272" i="11" s="1"/>
  <c r="F156" i="11" s="1"/>
  <c r="J272" i="11"/>
  <c r="S272" i="11" s="1"/>
  <c r="AB272" i="11" s="1"/>
  <c r="J156" i="11" s="1"/>
  <c r="F273" i="11"/>
  <c r="O273" i="11" s="1"/>
  <c r="X273" i="11" s="1"/>
  <c r="F157" i="11" s="1"/>
  <c r="J273" i="11"/>
  <c r="S273" i="11" s="1"/>
  <c r="AB273" i="11" s="1"/>
  <c r="J157" i="11" s="1"/>
  <c r="E270" i="11"/>
  <c r="N270" i="11" s="1"/>
  <c r="W270" i="11" s="1"/>
  <c r="E154" i="11" s="1"/>
  <c r="I270" i="11"/>
  <c r="R270" i="11" s="1"/>
  <c r="AA270" i="11" s="1"/>
  <c r="I154" i="11" s="1"/>
  <c r="E271" i="11"/>
  <c r="N271" i="11" s="1"/>
  <c r="W271" i="11" s="1"/>
  <c r="E155" i="11" s="1"/>
  <c r="I271" i="11"/>
  <c r="R271" i="11" s="1"/>
  <c r="AA271" i="11" s="1"/>
  <c r="I155" i="11" s="1"/>
  <c r="E272" i="11"/>
  <c r="N272" i="11" s="1"/>
  <c r="W272" i="11" s="1"/>
  <c r="E156" i="11" s="1"/>
  <c r="I272" i="11"/>
  <c r="R272" i="11" s="1"/>
  <c r="AA272" i="11" s="1"/>
  <c r="I156" i="11" s="1"/>
  <c r="E273" i="11"/>
  <c r="N273" i="11" s="1"/>
  <c r="W273" i="11" s="1"/>
  <c r="E157" i="11" s="1"/>
  <c r="L78" i="10"/>
  <c r="C164" i="10"/>
  <c r="D168" i="10" s="1"/>
  <c r="N168" i="10" s="1"/>
  <c r="D82" i="10" s="1"/>
  <c r="L10" i="10"/>
  <c r="C77" i="10" s="1"/>
  <c r="H182" i="10"/>
  <c r="C199" i="10" s="1"/>
  <c r="T67" i="10" s="1"/>
  <c r="T95" i="10"/>
  <c r="E275" i="11" l="1"/>
  <c r="G275" i="11" s="1"/>
  <c r="T157" i="11"/>
  <c r="T155" i="11"/>
  <c r="T156" i="11"/>
  <c r="U270" i="11"/>
  <c r="C154" i="11" s="1"/>
  <c r="T154" i="11" s="1"/>
  <c r="D178" i="10"/>
  <c r="N178" i="10" s="1"/>
  <c r="D92" i="10" s="1"/>
  <c r="G180" i="10"/>
  <c r="Q180" i="10" s="1"/>
  <c r="G94" i="10" s="1"/>
  <c r="H170" i="10"/>
  <c r="R170" i="10" s="1"/>
  <c r="H84" i="10" s="1"/>
  <c r="D180" i="10"/>
  <c r="N180" i="10" s="1"/>
  <c r="D94" i="10" s="1"/>
  <c r="H166" i="10"/>
  <c r="R166" i="10" s="1"/>
  <c r="H80" i="10" s="1"/>
  <c r="H172" i="10"/>
  <c r="R172" i="10" s="1"/>
  <c r="H86" i="10" s="1"/>
  <c r="H176" i="10"/>
  <c r="R176" i="10" s="1"/>
  <c r="H90" i="10" s="1"/>
  <c r="D166" i="10"/>
  <c r="N166" i="10" s="1"/>
  <c r="D80" i="10" s="1"/>
  <c r="T60" i="10"/>
  <c r="T66" i="10"/>
  <c r="T75" i="10"/>
  <c r="T64" i="10"/>
  <c r="T70" i="10"/>
  <c r="T42" i="10"/>
  <c r="T65" i="10"/>
  <c r="T74" i="10"/>
  <c r="T77" i="10"/>
  <c r="T61" i="10"/>
  <c r="G179" i="10"/>
  <c r="Q179" i="10" s="1"/>
  <c r="G93" i="10" s="1"/>
  <c r="H174" i="10"/>
  <c r="R174" i="10" s="1"/>
  <c r="H88" i="10" s="1"/>
  <c r="D170" i="10"/>
  <c r="N170" i="10" s="1"/>
  <c r="D84" i="10" s="1"/>
  <c r="G178" i="10"/>
  <c r="Q178" i="10" s="1"/>
  <c r="G92" i="10" s="1"/>
  <c r="D174" i="10"/>
  <c r="N174" i="10" s="1"/>
  <c r="D88" i="10" s="1"/>
  <c r="H168" i="10"/>
  <c r="R168" i="10" s="1"/>
  <c r="H82" i="10" s="1"/>
  <c r="D179" i="10"/>
  <c r="N179" i="10" s="1"/>
  <c r="D93" i="10" s="1"/>
  <c r="D176" i="10"/>
  <c r="N176" i="10" s="1"/>
  <c r="D90" i="10" s="1"/>
  <c r="D172" i="10"/>
  <c r="N172" i="10" s="1"/>
  <c r="D86" i="10" s="1"/>
  <c r="E166" i="10"/>
  <c r="O166" i="10" s="1"/>
  <c r="E80" i="10" s="1"/>
  <c r="I166" i="10"/>
  <c r="S166" i="10" s="1"/>
  <c r="I80" i="10" s="1"/>
  <c r="E167" i="10"/>
  <c r="O167" i="10" s="1"/>
  <c r="E81" i="10" s="1"/>
  <c r="I167" i="10"/>
  <c r="S167" i="10" s="1"/>
  <c r="I81" i="10" s="1"/>
  <c r="E168" i="10"/>
  <c r="O168" i="10" s="1"/>
  <c r="E82" i="10" s="1"/>
  <c r="I168" i="10"/>
  <c r="S168" i="10" s="1"/>
  <c r="I82" i="10" s="1"/>
  <c r="E169" i="10"/>
  <c r="O169" i="10" s="1"/>
  <c r="E83" i="10" s="1"/>
  <c r="I169" i="10"/>
  <c r="S169" i="10" s="1"/>
  <c r="I83" i="10" s="1"/>
  <c r="E170" i="10"/>
  <c r="O170" i="10" s="1"/>
  <c r="E84" i="10" s="1"/>
  <c r="I170" i="10"/>
  <c r="S170" i="10" s="1"/>
  <c r="I84" i="10" s="1"/>
  <c r="E171" i="10"/>
  <c r="O171" i="10" s="1"/>
  <c r="E85" i="10" s="1"/>
  <c r="I171" i="10"/>
  <c r="S171" i="10" s="1"/>
  <c r="I85" i="10" s="1"/>
  <c r="E172" i="10"/>
  <c r="O172" i="10" s="1"/>
  <c r="E86" i="10" s="1"/>
  <c r="I172" i="10"/>
  <c r="S172" i="10" s="1"/>
  <c r="I86" i="10" s="1"/>
  <c r="E173" i="10"/>
  <c r="O173" i="10" s="1"/>
  <c r="E87" i="10" s="1"/>
  <c r="I173" i="10"/>
  <c r="S173" i="10" s="1"/>
  <c r="I87" i="10" s="1"/>
  <c r="E174" i="10"/>
  <c r="O174" i="10" s="1"/>
  <c r="E88" i="10" s="1"/>
  <c r="I174" i="10"/>
  <c r="S174" i="10" s="1"/>
  <c r="I88" i="10" s="1"/>
  <c r="E175" i="10"/>
  <c r="O175" i="10" s="1"/>
  <c r="E89" i="10" s="1"/>
  <c r="I175" i="10"/>
  <c r="S175" i="10" s="1"/>
  <c r="I89" i="10" s="1"/>
  <c r="E176" i="10"/>
  <c r="O176" i="10" s="1"/>
  <c r="E90" i="10" s="1"/>
  <c r="I176" i="10"/>
  <c r="S176" i="10" s="1"/>
  <c r="I90" i="10" s="1"/>
  <c r="E177" i="10"/>
  <c r="O177" i="10" s="1"/>
  <c r="E91" i="10" s="1"/>
  <c r="I177" i="10"/>
  <c r="S177" i="10" s="1"/>
  <c r="I91" i="10" s="1"/>
  <c r="E178" i="10"/>
  <c r="O178" i="10" s="1"/>
  <c r="E92" i="10" s="1"/>
  <c r="I178" i="10"/>
  <c r="S178" i="10" s="1"/>
  <c r="I92" i="10" s="1"/>
  <c r="E179" i="10"/>
  <c r="O179" i="10" s="1"/>
  <c r="E93" i="10" s="1"/>
  <c r="I179" i="10"/>
  <c r="S179" i="10" s="1"/>
  <c r="I93" i="10" s="1"/>
  <c r="E180" i="10"/>
  <c r="O180" i="10" s="1"/>
  <c r="E94" i="10" s="1"/>
  <c r="I180" i="10"/>
  <c r="S180" i="10" s="1"/>
  <c r="I94" i="10" s="1"/>
  <c r="F166" i="10"/>
  <c r="P166" i="10" s="1"/>
  <c r="F80" i="10" s="1"/>
  <c r="J166" i="10"/>
  <c r="T166" i="10" s="1"/>
  <c r="J80" i="10" s="1"/>
  <c r="F167" i="10"/>
  <c r="P167" i="10" s="1"/>
  <c r="F81" i="10" s="1"/>
  <c r="J167" i="10"/>
  <c r="T167" i="10" s="1"/>
  <c r="J81" i="10" s="1"/>
  <c r="F168" i="10"/>
  <c r="P168" i="10" s="1"/>
  <c r="F82" i="10" s="1"/>
  <c r="J168" i="10"/>
  <c r="T168" i="10" s="1"/>
  <c r="J82" i="10" s="1"/>
  <c r="F169" i="10"/>
  <c r="P169" i="10" s="1"/>
  <c r="F83" i="10" s="1"/>
  <c r="J169" i="10"/>
  <c r="T169" i="10" s="1"/>
  <c r="J83" i="10" s="1"/>
  <c r="F170" i="10"/>
  <c r="P170" i="10" s="1"/>
  <c r="F84" i="10" s="1"/>
  <c r="J170" i="10"/>
  <c r="T170" i="10" s="1"/>
  <c r="J84" i="10" s="1"/>
  <c r="F171" i="10"/>
  <c r="P171" i="10" s="1"/>
  <c r="F85" i="10" s="1"/>
  <c r="J171" i="10"/>
  <c r="T171" i="10" s="1"/>
  <c r="J85" i="10" s="1"/>
  <c r="F172" i="10"/>
  <c r="P172" i="10" s="1"/>
  <c r="F86" i="10" s="1"/>
  <c r="J172" i="10"/>
  <c r="T172" i="10" s="1"/>
  <c r="J86" i="10" s="1"/>
  <c r="F173" i="10"/>
  <c r="P173" i="10" s="1"/>
  <c r="F87" i="10" s="1"/>
  <c r="J173" i="10"/>
  <c r="T173" i="10" s="1"/>
  <c r="J87" i="10" s="1"/>
  <c r="F174" i="10"/>
  <c r="P174" i="10" s="1"/>
  <c r="F88" i="10" s="1"/>
  <c r="J174" i="10"/>
  <c r="T174" i="10" s="1"/>
  <c r="J88" i="10" s="1"/>
  <c r="F175" i="10"/>
  <c r="P175" i="10" s="1"/>
  <c r="F89" i="10" s="1"/>
  <c r="J175" i="10"/>
  <c r="T175" i="10" s="1"/>
  <c r="J89" i="10" s="1"/>
  <c r="F176" i="10"/>
  <c r="P176" i="10" s="1"/>
  <c r="F90" i="10" s="1"/>
  <c r="J176" i="10"/>
  <c r="T176" i="10" s="1"/>
  <c r="J90" i="10" s="1"/>
  <c r="F177" i="10"/>
  <c r="P177" i="10" s="1"/>
  <c r="F91" i="10" s="1"/>
  <c r="J177" i="10"/>
  <c r="T177" i="10" s="1"/>
  <c r="J91" i="10" s="1"/>
  <c r="F178" i="10"/>
  <c r="P178" i="10" s="1"/>
  <c r="F92" i="10" s="1"/>
  <c r="J178" i="10"/>
  <c r="T178" i="10" s="1"/>
  <c r="J92" i="10" s="1"/>
  <c r="F179" i="10"/>
  <c r="P179" i="10" s="1"/>
  <c r="F93" i="10" s="1"/>
  <c r="J179" i="10"/>
  <c r="T179" i="10" s="1"/>
  <c r="J93" i="10" s="1"/>
  <c r="F180" i="10"/>
  <c r="P180" i="10" s="1"/>
  <c r="F94" i="10" s="1"/>
  <c r="J180" i="10"/>
  <c r="T180" i="10" s="1"/>
  <c r="J94" i="10" s="1"/>
  <c r="C166" i="10"/>
  <c r="M166" i="10" s="1"/>
  <c r="C80" i="10" s="1"/>
  <c r="G166" i="10"/>
  <c r="Q166" i="10" s="1"/>
  <c r="G80" i="10" s="1"/>
  <c r="C167" i="10"/>
  <c r="M167" i="10" s="1"/>
  <c r="C81" i="10" s="1"/>
  <c r="G167" i="10"/>
  <c r="Q167" i="10" s="1"/>
  <c r="G81" i="10" s="1"/>
  <c r="C168" i="10"/>
  <c r="M168" i="10" s="1"/>
  <c r="C82" i="10" s="1"/>
  <c r="G168" i="10"/>
  <c r="Q168" i="10" s="1"/>
  <c r="G82" i="10" s="1"/>
  <c r="C169" i="10"/>
  <c r="M169" i="10" s="1"/>
  <c r="C83" i="10" s="1"/>
  <c r="G169" i="10"/>
  <c r="Q169" i="10" s="1"/>
  <c r="G83" i="10" s="1"/>
  <c r="C170" i="10"/>
  <c r="M170" i="10" s="1"/>
  <c r="C84" i="10" s="1"/>
  <c r="G170" i="10"/>
  <c r="Q170" i="10" s="1"/>
  <c r="G84" i="10" s="1"/>
  <c r="C171" i="10"/>
  <c r="M171" i="10" s="1"/>
  <c r="C85" i="10" s="1"/>
  <c r="G171" i="10"/>
  <c r="Q171" i="10" s="1"/>
  <c r="G85" i="10" s="1"/>
  <c r="C172" i="10"/>
  <c r="M172" i="10" s="1"/>
  <c r="C86" i="10" s="1"/>
  <c r="G172" i="10"/>
  <c r="Q172" i="10" s="1"/>
  <c r="G86" i="10" s="1"/>
  <c r="C173" i="10"/>
  <c r="M173" i="10" s="1"/>
  <c r="C87" i="10" s="1"/>
  <c r="G173" i="10"/>
  <c r="Q173" i="10" s="1"/>
  <c r="G87" i="10" s="1"/>
  <c r="C174" i="10"/>
  <c r="M174" i="10" s="1"/>
  <c r="C88" i="10" s="1"/>
  <c r="G174" i="10"/>
  <c r="Q174" i="10" s="1"/>
  <c r="G88" i="10" s="1"/>
  <c r="C175" i="10"/>
  <c r="M175" i="10" s="1"/>
  <c r="C89" i="10" s="1"/>
  <c r="G175" i="10"/>
  <c r="Q175" i="10" s="1"/>
  <c r="G89" i="10" s="1"/>
  <c r="C176" i="10"/>
  <c r="M176" i="10" s="1"/>
  <c r="C90" i="10" s="1"/>
  <c r="G176" i="10"/>
  <c r="Q176" i="10" s="1"/>
  <c r="G90" i="10" s="1"/>
  <c r="C177" i="10"/>
  <c r="M177" i="10" s="1"/>
  <c r="C91" i="10" s="1"/>
  <c r="G177" i="10"/>
  <c r="Q177" i="10" s="1"/>
  <c r="G91" i="10" s="1"/>
  <c r="C178" i="10"/>
  <c r="M178" i="10" s="1"/>
  <c r="C92" i="10" s="1"/>
  <c r="C180" i="10"/>
  <c r="M180" i="10" s="1"/>
  <c r="C94" i="10" s="1"/>
  <c r="C179" i="10"/>
  <c r="M179" i="10" s="1"/>
  <c r="C93" i="10" s="1"/>
  <c r="H177" i="10"/>
  <c r="R177" i="10" s="1"/>
  <c r="H91" i="10" s="1"/>
  <c r="H175" i="10"/>
  <c r="R175" i="10" s="1"/>
  <c r="H89" i="10" s="1"/>
  <c r="H173" i="10"/>
  <c r="R173" i="10" s="1"/>
  <c r="H87" i="10" s="1"/>
  <c r="H171" i="10"/>
  <c r="R171" i="10" s="1"/>
  <c r="H85" i="10" s="1"/>
  <c r="H169" i="10"/>
  <c r="R169" i="10" s="1"/>
  <c r="H83" i="10" s="1"/>
  <c r="H167" i="10"/>
  <c r="R167" i="10" s="1"/>
  <c r="H81" i="10" s="1"/>
  <c r="H180" i="10"/>
  <c r="R180" i="10" s="1"/>
  <c r="H94" i="10" s="1"/>
  <c r="H179" i="10"/>
  <c r="R179" i="10" s="1"/>
  <c r="H93" i="10" s="1"/>
  <c r="H178" i="10"/>
  <c r="R178" i="10" s="1"/>
  <c r="H92" i="10" s="1"/>
  <c r="D177" i="10"/>
  <c r="N177" i="10" s="1"/>
  <c r="D91" i="10" s="1"/>
  <c r="D175" i="10"/>
  <c r="N175" i="10" s="1"/>
  <c r="D89" i="10" s="1"/>
  <c r="D173" i="10"/>
  <c r="N173" i="10" s="1"/>
  <c r="D87" i="10" s="1"/>
  <c r="D171" i="10"/>
  <c r="N171" i="10" s="1"/>
  <c r="D85" i="10" s="1"/>
  <c r="D169" i="10"/>
  <c r="N169" i="10" s="1"/>
  <c r="D83" i="10" s="1"/>
  <c r="D167" i="10"/>
  <c r="N167" i="10" s="1"/>
  <c r="D81" i="10" s="1"/>
  <c r="C165" i="10"/>
  <c r="M165" i="10" s="1"/>
  <c r="T46" i="10"/>
  <c r="T57" i="10"/>
  <c r="T41" i="10"/>
  <c r="T49" i="10"/>
  <c r="T54" i="10"/>
  <c r="T71" i="10"/>
  <c r="H165" i="10"/>
  <c r="R165" i="10" s="1"/>
  <c r="H79" i="10" s="1"/>
  <c r="T76" i="10"/>
  <c r="T56" i="10"/>
  <c r="T52" i="10"/>
  <c r="T48" i="10"/>
  <c r="T40" i="10"/>
  <c r="T59" i="10"/>
  <c r="T55" i="10"/>
  <c r="T51" i="10"/>
  <c r="T47" i="10"/>
  <c r="T43" i="10"/>
  <c r="T50" i="10"/>
  <c r="T58" i="10"/>
  <c r="J165" i="10"/>
  <c r="T165" i="10" s="1"/>
  <c r="J79" i="10" s="1"/>
  <c r="F165" i="10"/>
  <c r="P165" i="10" s="1"/>
  <c r="F79" i="10" s="1"/>
  <c r="I165" i="10"/>
  <c r="S165" i="10" s="1"/>
  <c r="I79" i="10" s="1"/>
  <c r="E165" i="10"/>
  <c r="O165" i="10" s="1"/>
  <c r="E79" i="10" s="1"/>
  <c r="T78" i="10"/>
  <c r="D165" i="10"/>
  <c r="N165" i="10" s="1"/>
  <c r="D79" i="10" s="1"/>
  <c r="T45" i="10"/>
  <c r="T53" i="10"/>
  <c r="T73" i="10"/>
  <c r="G165" i="10"/>
  <c r="Q165" i="10" s="1"/>
  <c r="G79" i="10" s="1"/>
  <c r="L150" i="11" l="1"/>
  <c r="H275" i="11"/>
  <c r="I275" i="11" s="1"/>
  <c r="C150" i="11" s="1"/>
  <c r="F327" i="11"/>
  <c r="F331" i="11" s="1"/>
  <c r="L132" i="11"/>
  <c r="T92" i="10"/>
  <c r="T90" i="10"/>
  <c r="T88" i="10"/>
  <c r="T86" i="10"/>
  <c r="T84" i="10"/>
  <c r="C79" i="10"/>
  <c r="T79" i="10" s="1"/>
  <c r="F187" i="10"/>
  <c r="F188" i="10" s="1"/>
  <c r="L188" i="10" s="1"/>
  <c r="T93" i="10"/>
  <c r="T91" i="10"/>
  <c r="T89" i="10"/>
  <c r="T87" i="10"/>
  <c r="T85" i="10"/>
  <c r="T83" i="10"/>
  <c r="T94" i="10"/>
  <c r="T82" i="10"/>
  <c r="T81" i="10"/>
  <c r="T80" i="10"/>
  <c r="T150" i="11" l="1"/>
  <c r="F334" i="11"/>
  <c r="F335" i="11" s="1"/>
  <c r="H331" i="11"/>
  <c r="C145" i="11" s="1"/>
  <c r="T145" i="11" s="1"/>
  <c r="C72" i="10"/>
  <c r="H335" i="11" l="1"/>
  <c r="C132" i="11" s="1"/>
  <c r="T132" i="11" s="1"/>
  <c r="F345" i="11"/>
  <c r="F346" i="11" s="1"/>
  <c r="H346" i="11" s="1"/>
  <c r="D123" i="11" s="1"/>
  <c r="L123" i="11"/>
  <c r="F195" i="10"/>
  <c r="F196" i="10" s="1"/>
  <c r="L72" i="10"/>
  <c r="T72" i="10" s="1"/>
  <c r="L63" i="10" l="1"/>
  <c r="L196" i="10"/>
  <c r="D63" i="10" s="1"/>
  <c r="T123" i="11"/>
  <c r="T63" i="10" l="1"/>
  <c r="T92" i="7"/>
  <c r="L86" i="7" l="1"/>
  <c r="C86" i="7"/>
  <c r="F184" i="7"/>
  <c r="H175" i="7"/>
  <c r="C197" i="7" s="1"/>
  <c r="T38" i="7" s="1"/>
  <c r="H174" i="7"/>
  <c r="D171" i="7"/>
  <c r="M171" i="7" s="1"/>
  <c r="D75" i="7" s="1"/>
  <c r="E171" i="7"/>
  <c r="N171" i="7" s="1"/>
  <c r="E75" i="7" s="1"/>
  <c r="F171" i="7"/>
  <c r="O171" i="7" s="1"/>
  <c r="F75" i="7" s="1"/>
  <c r="G171" i="7"/>
  <c r="P171" i="7" s="1"/>
  <c r="G75" i="7" s="1"/>
  <c r="H171" i="7"/>
  <c r="Q171" i="7" s="1"/>
  <c r="H75" i="7" s="1"/>
  <c r="I171" i="7"/>
  <c r="R171" i="7" s="1"/>
  <c r="I75" i="7" s="1"/>
  <c r="C171" i="7"/>
  <c r="L171" i="7" s="1"/>
  <c r="C143" i="7"/>
  <c r="C155" i="7" s="1"/>
  <c r="L76" i="7" s="1"/>
  <c r="C146" i="7"/>
  <c r="F168" i="7" s="1"/>
  <c r="O168" i="7" s="1"/>
  <c r="F84" i="7" s="1"/>
  <c r="T74" i="7" l="1"/>
  <c r="T85" i="7"/>
  <c r="T72" i="7"/>
  <c r="T42" i="7"/>
  <c r="T60" i="7"/>
  <c r="T39" i="7"/>
  <c r="T83" i="7"/>
  <c r="T69" i="7"/>
  <c r="T55" i="7"/>
  <c r="T81" i="7"/>
  <c r="T67" i="7"/>
  <c r="T57" i="7"/>
  <c r="T63" i="7"/>
  <c r="L84" i="7"/>
  <c r="T86" i="7"/>
  <c r="T73" i="7"/>
  <c r="T62" i="7"/>
  <c r="T53" i="7"/>
  <c r="T49" i="7"/>
  <c r="T45" i="7"/>
  <c r="T37" i="7"/>
  <c r="T56" i="7"/>
  <c r="T47" i="7"/>
  <c r="T66" i="7"/>
  <c r="T50" i="7"/>
  <c r="T76" i="7"/>
  <c r="T70" i="7"/>
  <c r="T52" i="7"/>
  <c r="T48" i="7"/>
  <c r="T44" i="7"/>
  <c r="T82" i="7"/>
  <c r="T51" i="7"/>
  <c r="T41" i="7"/>
  <c r="T54" i="7"/>
  <c r="T46" i="7"/>
  <c r="T36" i="7"/>
  <c r="T61" i="7"/>
  <c r="T71" i="7"/>
  <c r="T43" i="7"/>
  <c r="F180" i="7"/>
  <c r="C75" i="7"/>
  <c r="T75" i="7" s="1"/>
  <c r="C168" i="7"/>
  <c r="L168" i="7" s="1"/>
  <c r="C84" i="7" s="1"/>
  <c r="E168" i="7"/>
  <c r="N168" i="7" s="1"/>
  <c r="E84" i="7" s="1"/>
  <c r="D168" i="7"/>
  <c r="M168" i="7" s="1"/>
  <c r="D84" i="7" s="1"/>
  <c r="F157" i="7"/>
  <c r="O157" i="7" s="1"/>
  <c r="F78" i="7" s="1"/>
  <c r="H158" i="7"/>
  <c r="Q158" i="7" s="1"/>
  <c r="H79" i="7" s="1"/>
  <c r="I156" i="7"/>
  <c r="R156" i="7" s="1"/>
  <c r="I77" i="7" s="1"/>
  <c r="D159" i="7"/>
  <c r="M159" i="7" s="1"/>
  <c r="D80" i="7" s="1"/>
  <c r="H159" i="7"/>
  <c r="Q159" i="7" s="1"/>
  <c r="H80" i="7" s="1"/>
  <c r="E156" i="7"/>
  <c r="N156" i="7" s="1"/>
  <c r="E77" i="7" s="1"/>
  <c r="D158" i="7"/>
  <c r="M158" i="7" s="1"/>
  <c r="D79" i="7" s="1"/>
  <c r="H157" i="7"/>
  <c r="Q157" i="7" s="1"/>
  <c r="H78" i="7" s="1"/>
  <c r="D157" i="7"/>
  <c r="M157" i="7" s="1"/>
  <c r="D78" i="7" s="1"/>
  <c r="H156" i="7"/>
  <c r="Q156" i="7" s="1"/>
  <c r="H77" i="7" s="1"/>
  <c r="D156" i="7"/>
  <c r="M156" i="7" s="1"/>
  <c r="D77" i="7" s="1"/>
  <c r="C159" i="7"/>
  <c r="L159" i="7" s="1"/>
  <c r="C80" i="7" s="1"/>
  <c r="C158" i="7"/>
  <c r="L158" i="7" s="1"/>
  <c r="C79" i="7" s="1"/>
  <c r="G157" i="7"/>
  <c r="P157" i="7" s="1"/>
  <c r="G78" i="7" s="1"/>
  <c r="C157" i="7"/>
  <c r="L157" i="7" s="1"/>
  <c r="C78" i="7" s="1"/>
  <c r="G156" i="7"/>
  <c r="P156" i="7" s="1"/>
  <c r="G77" i="7" s="1"/>
  <c r="J159" i="7"/>
  <c r="S159" i="7" s="1"/>
  <c r="J80" i="7" s="1"/>
  <c r="F159" i="7"/>
  <c r="O159" i="7" s="1"/>
  <c r="F80" i="7" s="1"/>
  <c r="J158" i="7"/>
  <c r="S158" i="7" s="1"/>
  <c r="J79" i="7" s="1"/>
  <c r="F158" i="7"/>
  <c r="O158" i="7" s="1"/>
  <c r="F79" i="7" s="1"/>
  <c r="J157" i="7"/>
  <c r="S157" i="7" s="1"/>
  <c r="J78" i="7" s="1"/>
  <c r="J156" i="7"/>
  <c r="S156" i="7" s="1"/>
  <c r="J77" i="7" s="1"/>
  <c r="F156" i="7"/>
  <c r="O156" i="7" s="1"/>
  <c r="F77" i="7" s="1"/>
  <c r="I159" i="7"/>
  <c r="R159" i="7" s="1"/>
  <c r="I80" i="7" s="1"/>
  <c r="E159" i="7"/>
  <c r="N159" i="7" s="1"/>
  <c r="E80" i="7" s="1"/>
  <c r="I158" i="7"/>
  <c r="R158" i="7" s="1"/>
  <c r="I79" i="7" s="1"/>
  <c r="E158" i="7"/>
  <c r="N158" i="7" s="1"/>
  <c r="E79" i="7" s="1"/>
  <c r="I157" i="7"/>
  <c r="R157" i="7" s="1"/>
  <c r="I78" i="7" s="1"/>
  <c r="E157" i="7"/>
  <c r="N157" i="7" s="1"/>
  <c r="E78" i="7" s="1"/>
  <c r="G159" i="7"/>
  <c r="P159" i="7" s="1"/>
  <c r="G80" i="7" s="1"/>
  <c r="G158" i="7"/>
  <c r="P158" i="7" s="1"/>
  <c r="G79" i="7" s="1"/>
  <c r="C156" i="7"/>
  <c r="C148" i="7"/>
  <c r="C161" i="7" s="1"/>
  <c r="L87" i="7" s="1"/>
  <c r="T87" i="7" s="1"/>
  <c r="L156" i="7" l="1"/>
  <c r="C77" i="7" s="1"/>
  <c r="T77" i="7" s="1"/>
  <c r="T79" i="7"/>
  <c r="T80" i="7"/>
  <c r="T78" i="7"/>
  <c r="T84" i="7"/>
  <c r="F183" i="7"/>
  <c r="F163" i="7"/>
  <c r="O163" i="7" s="1"/>
  <c r="F89" i="7" s="1"/>
  <c r="J163" i="7"/>
  <c r="S163" i="7" s="1"/>
  <c r="J89" i="7" s="1"/>
  <c r="F164" i="7"/>
  <c r="O164" i="7" s="1"/>
  <c r="F90" i="7" s="1"/>
  <c r="J164" i="7"/>
  <c r="S164" i="7" s="1"/>
  <c r="J90" i="7" s="1"/>
  <c r="F165" i="7"/>
  <c r="O165" i="7" s="1"/>
  <c r="F91" i="7" s="1"/>
  <c r="J165" i="7"/>
  <c r="S165" i="7" s="1"/>
  <c r="J91" i="7" s="1"/>
  <c r="G162" i="7"/>
  <c r="P162" i="7" s="1"/>
  <c r="G88" i="7" s="1"/>
  <c r="C162" i="7"/>
  <c r="L162" i="7" s="1"/>
  <c r="C88" i="7" s="1"/>
  <c r="E163" i="7"/>
  <c r="N163" i="7" s="1"/>
  <c r="E89" i="7" s="1"/>
  <c r="I163" i="7"/>
  <c r="R163" i="7" s="1"/>
  <c r="I89" i="7" s="1"/>
  <c r="E164" i="7"/>
  <c r="N164" i="7" s="1"/>
  <c r="E90" i="7" s="1"/>
  <c r="I164" i="7"/>
  <c r="R164" i="7" s="1"/>
  <c r="I90" i="7" s="1"/>
  <c r="E165" i="7"/>
  <c r="N165" i="7" s="1"/>
  <c r="E91" i="7" s="1"/>
  <c r="I165" i="7"/>
  <c r="R165" i="7" s="1"/>
  <c r="I91" i="7" s="1"/>
  <c r="F162" i="7"/>
  <c r="O162" i="7" s="1"/>
  <c r="F88" i="7" s="1"/>
  <c r="J162" i="7"/>
  <c r="S162" i="7" s="1"/>
  <c r="J88" i="7" s="1"/>
  <c r="C163" i="7"/>
  <c r="L163" i="7" s="1"/>
  <c r="C89" i="7" s="1"/>
  <c r="G163" i="7"/>
  <c r="P163" i="7" s="1"/>
  <c r="G89" i="7" s="1"/>
  <c r="C164" i="7"/>
  <c r="L164" i="7" s="1"/>
  <c r="C90" i="7" s="1"/>
  <c r="G164" i="7"/>
  <c r="P164" i="7" s="1"/>
  <c r="G90" i="7" s="1"/>
  <c r="C165" i="7"/>
  <c r="L165" i="7" s="1"/>
  <c r="C91" i="7" s="1"/>
  <c r="G165" i="7"/>
  <c r="P165" i="7" s="1"/>
  <c r="G91" i="7" s="1"/>
  <c r="D162" i="7"/>
  <c r="M162" i="7" s="1"/>
  <c r="D88" i="7" s="1"/>
  <c r="H162" i="7"/>
  <c r="Q162" i="7" s="1"/>
  <c r="H88" i="7" s="1"/>
  <c r="D163" i="7"/>
  <c r="M163" i="7" s="1"/>
  <c r="D89" i="7" s="1"/>
  <c r="H163" i="7"/>
  <c r="Q163" i="7" s="1"/>
  <c r="H89" i="7" s="1"/>
  <c r="D164" i="7"/>
  <c r="M164" i="7" s="1"/>
  <c r="D90" i="7" s="1"/>
  <c r="H164" i="7"/>
  <c r="Q164" i="7" s="1"/>
  <c r="H90" i="7" s="1"/>
  <c r="D165" i="7"/>
  <c r="M165" i="7" s="1"/>
  <c r="D91" i="7" s="1"/>
  <c r="H165" i="7"/>
  <c r="Q165" i="7" s="1"/>
  <c r="H91" i="7" s="1"/>
  <c r="E162" i="7"/>
  <c r="N162" i="7" s="1"/>
  <c r="E88" i="7" s="1"/>
  <c r="I162" i="7"/>
  <c r="R162" i="7" s="1"/>
  <c r="I88" i="7" s="1"/>
  <c r="F181" i="7" l="1"/>
  <c r="T90" i="7"/>
  <c r="T91" i="7"/>
  <c r="T89" i="7"/>
  <c r="T88" i="7"/>
  <c r="F185" i="7"/>
  <c r="F186" i="7" l="1"/>
  <c r="L68" i="7" s="1"/>
  <c r="F193" i="7" l="1"/>
  <c r="F194" i="7" s="1"/>
  <c r="L194" i="7" s="1"/>
  <c r="D59" i="7" s="1"/>
  <c r="L186" i="7"/>
  <c r="C68" i="7" s="1"/>
  <c r="T68" i="7" s="1"/>
  <c r="L59" i="7" l="1"/>
  <c r="T59" i="7" s="1"/>
</calcChain>
</file>

<file path=xl/sharedStrings.xml><?xml version="1.0" encoding="utf-8"?>
<sst xmlns="http://schemas.openxmlformats.org/spreadsheetml/2006/main" count="1103" uniqueCount="816">
  <si>
    <t>MB</t>
    <phoneticPr fontId="1"/>
  </si>
  <si>
    <t>ME</t>
    <phoneticPr fontId="1"/>
  </si>
  <si>
    <t>CF</t>
    <phoneticPr fontId="1"/>
  </si>
  <si>
    <t>SR</t>
    <phoneticPr fontId="1"/>
  </si>
  <si>
    <t>IL</t>
    <phoneticPr fontId="1"/>
  </si>
  <si>
    <t>TNF</t>
    <phoneticPr fontId="1"/>
  </si>
  <si>
    <t>WEP</t>
    <phoneticPr fontId="1"/>
  </si>
  <si>
    <t>WPA</t>
    <phoneticPr fontId="1"/>
  </si>
  <si>
    <t>SSID</t>
    <phoneticPr fontId="1"/>
  </si>
  <si>
    <t xml:space="preserve">/*Capability Container ID*/ </t>
  </si>
  <si>
    <t>/* Mapping version 2.0 */</t>
  </si>
  <si>
    <t>/* MLe (49 bytes); Maximum R-APDU data size */</t>
  </si>
  <si>
    <t>/* Tag, File Control TLV (4 = NDEF file) */</t>
  </si>
  <si>
    <t>/* Length, File Control TLV (6 = 6 bytes of data for this tag) */</t>
  </si>
  <si>
    <t>/* NDEF file read access condition, read access without any security */</t>
  </si>
  <si>
    <t>/* NDEF file write access condition; write access without any security */</t>
  </si>
  <si>
    <t xml:space="preserve">/* NDEF File ID */ </t>
  </si>
  <si>
    <t>Guide.  http://office.microsoft.com/en-us/excel-help/dec2hex-HP005209054.aspx</t>
  </si>
  <si>
    <t>Top_page</t>
    <phoneticPr fontId="1"/>
  </si>
  <si>
    <t>WiFi</t>
    <phoneticPr fontId="1"/>
  </si>
  <si>
    <t>security type</t>
    <phoneticPr fontId="1"/>
  </si>
  <si>
    <t>security key</t>
    <phoneticPr fontId="1"/>
  </si>
  <si>
    <t>SSID</t>
    <phoneticPr fontId="1"/>
  </si>
  <si>
    <t>security type list</t>
    <phoneticPr fontId="1"/>
  </si>
  <si>
    <t>open</t>
    <phoneticPr fontId="1"/>
  </si>
  <si>
    <t>security key</t>
    <phoneticPr fontId="1"/>
  </si>
  <si>
    <t>Key ASCII</t>
    <phoneticPr fontId="1"/>
  </si>
  <si>
    <t>SSID ASCII</t>
    <phoneticPr fontId="1"/>
  </si>
  <si>
    <t>Num</t>
    <phoneticPr fontId="1"/>
  </si>
  <si>
    <t>wifi://</t>
    <phoneticPr fontId="1"/>
  </si>
  <si>
    <t>/*NDEF Tag Application */</t>
    <phoneticPr fontId="1"/>
  </si>
  <si>
    <t>NDEF Tag Application</t>
    <phoneticPr fontId="1"/>
  </si>
  <si>
    <t>CC file</t>
    <phoneticPr fontId="1"/>
  </si>
  <si>
    <t>CC file ID</t>
    <phoneticPr fontId="1"/>
  </si>
  <si>
    <t>0x00,</t>
    <phoneticPr fontId="1"/>
  </si>
  <si>
    <t>/* CCLEN 15bytes fix*/</t>
    <phoneticPr fontId="1"/>
  </si>
  <si>
    <t>Use Def file</t>
    <phoneticPr fontId="1"/>
  </si>
  <si>
    <t>deffile</t>
    <phoneticPr fontId="1"/>
  </si>
  <si>
    <t>On</t>
    <phoneticPr fontId="1"/>
  </si>
  <si>
    <t>Off</t>
  </si>
  <si>
    <t>Off</t>
    <phoneticPr fontId="1"/>
  </si>
  <si>
    <t>On</t>
    <phoneticPr fontId="1"/>
  </si>
  <si>
    <t>Off</t>
    <phoneticPr fontId="1"/>
  </si>
  <si>
    <t>output confirm list</t>
    <phoneticPr fontId="1"/>
  </si>
  <si>
    <t>deffile list</t>
    <phoneticPr fontId="1"/>
  </si>
  <si>
    <t>confirm</t>
    <phoneticPr fontId="1"/>
  </si>
  <si>
    <t>/* MLc (52 bytes); Maximum C-APDU data size */</t>
    <phoneticPr fontId="1"/>
  </si>
  <si>
    <t>/* Type4 Tag File Identifier */</t>
    <phoneticPr fontId="1"/>
  </si>
  <si>
    <t>/* Max NDEF size (3037 bytes of RF430CL330 useable memory) */</t>
    <phoneticPr fontId="1"/>
  </si>
  <si>
    <t>T field</t>
    <phoneticPr fontId="1"/>
  </si>
  <si>
    <t>L field</t>
    <phoneticPr fontId="1"/>
  </si>
  <si>
    <t>V field</t>
    <phoneticPr fontId="1"/>
  </si>
  <si>
    <t>NDEF</t>
    <phoneticPr fontId="1"/>
  </si>
  <si>
    <t>NDEF file ID</t>
    <phoneticPr fontId="1"/>
  </si>
  <si>
    <t>NLEN</t>
    <phoneticPr fontId="1"/>
  </si>
  <si>
    <t>Input resorber</t>
    <phoneticPr fontId="1"/>
  </si>
  <si>
    <t>Sec key</t>
    <phoneticPr fontId="1"/>
  </si>
  <si>
    <t>Header</t>
    <phoneticPr fontId="1"/>
  </si>
  <si>
    <t>Type Length</t>
    <phoneticPr fontId="1"/>
  </si>
  <si>
    <t>0x01,</t>
    <phoneticPr fontId="1"/>
  </si>
  <si>
    <t>Payload Length</t>
    <phoneticPr fontId="1"/>
  </si>
  <si>
    <t>Record Type</t>
    <phoneticPr fontId="1"/>
  </si>
  <si>
    <t>0x55,</t>
    <phoneticPr fontId="1"/>
  </si>
  <si>
    <t>/* Type U (URI) */</t>
    <phoneticPr fontId="1"/>
  </si>
  <si>
    <t>/* Type Length 1 byte */</t>
    <phoneticPr fontId="1"/>
  </si>
  <si>
    <t>Payload</t>
    <phoneticPr fontId="1"/>
  </si>
  <si>
    <t>URI Record Type</t>
    <phoneticPr fontId="1"/>
  </si>
  <si>
    <t>/* URI Record Type : No abbreviation */</t>
    <phoneticPr fontId="1"/>
  </si>
  <si>
    <t>/* NDEF start */</t>
    <phoneticPr fontId="1"/>
  </si>
  <si>
    <t>Count Payload Length</t>
    <phoneticPr fontId="1"/>
  </si>
  <si>
    <t>URI TYPE</t>
    <phoneticPr fontId="1"/>
  </si>
  <si>
    <t>wifi://</t>
    <phoneticPr fontId="1"/>
  </si>
  <si>
    <t>SSID</t>
    <phoneticPr fontId="1"/>
  </si>
  <si>
    <t>1st /</t>
    <phoneticPr fontId="1"/>
  </si>
  <si>
    <t>security type</t>
    <phoneticPr fontId="1"/>
  </si>
  <si>
    <t>2nd /</t>
    <phoneticPr fontId="1"/>
  </si>
  <si>
    <t>security key</t>
    <phoneticPr fontId="1"/>
  </si>
  <si>
    <t>total length</t>
    <phoneticPr fontId="1"/>
  </si>
  <si>
    <t>Count NDEF length</t>
    <phoneticPr fontId="1"/>
  </si>
  <si>
    <t>Payload</t>
    <phoneticPr fontId="1"/>
  </si>
  <si>
    <t>Payload length length</t>
    <phoneticPr fontId="1"/>
  </si>
  <si>
    <t>Type length length</t>
    <phoneticPr fontId="1"/>
  </si>
  <si>
    <t>Header length</t>
    <phoneticPr fontId="1"/>
  </si>
  <si>
    <t>Record type length</t>
    <phoneticPr fontId="1"/>
  </si>
  <si>
    <t>0xD1,</t>
    <phoneticPr fontId="1"/>
  </si>
  <si>
    <t>/* Payload start */</t>
    <phoneticPr fontId="1"/>
  </si>
  <si>
    <t>/* CC file end */</t>
    <phoneticPr fontId="1"/>
  </si>
  <si>
    <t>/* CC file start */</t>
    <phoneticPr fontId="1"/>
  </si>
  <si>
    <t>SSID</t>
    <phoneticPr fontId="1"/>
  </si>
  <si>
    <t>1st /</t>
    <phoneticPr fontId="1"/>
  </si>
  <si>
    <t>0x2F,</t>
    <phoneticPr fontId="1"/>
  </si>
  <si>
    <t>security type</t>
    <phoneticPr fontId="1"/>
  </si>
  <si>
    <t>2nd /</t>
    <phoneticPr fontId="1"/>
  </si>
  <si>
    <t>security key</t>
    <phoneticPr fontId="1"/>
  </si>
  <si>
    <t>#define RF430_APP_DATA {</t>
    <phoneticPr fontId="1"/>
  </si>
  <si>
    <t>/* wifi:// text */</t>
    <phoneticPr fontId="1"/>
  </si>
  <si>
    <t>/* 1st / */</t>
    <phoneticPr fontId="1"/>
  </si>
  <si>
    <t>} /* End of data */</t>
    <phoneticPr fontId="1"/>
  </si>
  <si>
    <t xml:space="preserve">0xD2, </t>
    <phoneticPr fontId="1"/>
  </si>
  <si>
    <t xml:space="preserve">0x76, </t>
    <phoneticPr fontId="1"/>
  </si>
  <si>
    <t xml:space="preserve">0x00, </t>
    <phoneticPr fontId="1"/>
  </si>
  <si>
    <t xml:space="preserve">0x85, </t>
    <phoneticPr fontId="1"/>
  </si>
  <si>
    <t xml:space="preserve">0x01, </t>
    <phoneticPr fontId="1"/>
  </si>
  <si>
    <t xml:space="preserve">0xE1, </t>
    <phoneticPr fontId="1"/>
  </si>
  <si>
    <t xml:space="preserve">0x03, </t>
    <phoneticPr fontId="1"/>
  </si>
  <si>
    <t xml:space="preserve">0x00, </t>
    <phoneticPr fontId="1"/>
  </si>
  <si>
    <t xml:space="preserve">0x0F, </t>
    <phoneticPr fontId="1"/>
  </si>
  <si>
    <t xml:space="preserve">0x20, </t>
    <phoneticPr fontId="1"/>
  </si>
  <si>
    <t xml:space="preserve">0x04, </t>
    <phoneticPr fontId="1"/>
  </si>
  <si>
    <t xml:space="preserve">0x06, </t>
    <phoneticPr fontId="1"/>
  </si>
  <si>
    <t xml:space="preserve">0x04, </t>
    <phoneticPr fontId="1"/>
  </si>
  <si>
    <t xml:space="preserve">0x0B, </t>
    <phoneticPr fontId="1"/>
  </si>
  <si>
    <t xml:space="preserve">0xDF, </t>
    <phoneticPr fontId="1"/>
  </si>
  <si>
    <t xml:space="preserve">0x00, </t>
    <phoneticPr fontId="1"/>
  </si>
  <si>
    <t xml:space="preserve">0x00, </t>
    <phoneticPr fontId="1"/>
  </si>
  <si>
    <t>Protocol</t>
    <phoneticPr fontId="1"/>
  </si>
  <si>
    <t>Hex</t>
    <phoneticPr fontId="1"/>
  </si>
  <si>
    <t>0x00</t>
    <phoneticPr fontId="1"/>
  </si>
  <si>
    <t>0x01</t>
    <phoneticPr fontId="1"/>
  </si>
  <si>
    <t>https://www.</t>
    <phoneticPr fontId="1"/>
  </si>
  <si>
    <t>0x02</t>
  </si>
  <si>
    <t>http://</t>
    <phoneticPr fontId="1"/>
  </si>
  <si>
    <t>0x03</t>
  </si>
  <si>
    <t>htps://</t>
    <phoneticPr fontId="1"/>
  </si>
  <si>
    <t>0x04</t>
  </si>
  <si>
    <t>tel:</t>
    <phoneticPr fontId="1"/>
  </si>
  <si>
    <t>0x05</t>
  </si>
  <si>
    <t>mailto:</t>
    <phoneticPr fontId="1"/>
  </si>
  <si>
    <t>0x06</t>
  </si>
  <si>
    <t>ftp://anonymous:anonymous@</t>
    <phoneticPr fontId="1"/>
  </si>
  <si>
    <t>0x07</t>
  </si>
  <si>
    <t>ftp://ftp.</t>
    <phoneticPr fontId="1"/>
  </si>
  <si>
    <t>0x08</t>
  </si>
  <si>
    <t>ftps://</t>
    <phoneticPr fontId="1"/>
  </si>
  <si>
    <t>0x09</t>
  </si>
  <si>
    <t>sftp://</t>
    <phoneticPr fontId="1"/>
  </si>
  <si>
    <t>0x0A</t>
    <phoneticPr fontId="1"/>
  </si>
  <si>
    <t>smb://</t>
    <phoneticPr fontId="1"/>
  </si>
  <si>
    <t>0x0B</t>
    <phoneticPr fontId="1"/>
  </si>
  <si>
    <t>nfs://</t>
    <phoneticPr fontId="1"/>
  </si>
  <si>
    <t>0x0C</t>
    <phoneticPr fontId="1"/>
  </si>
  <si>
    <t>ftp://</t>
    <phoneticPr fontId="1"/>
  </si>
  <si>
    <t>0x0D</t>
    <phoneticPr fontId="1"/>
  </si>
  <si>
    <t>dav://</t>
    <phoneticPr fontId="1"/>
  </si>
  <si>
    <t>0x0E</t>
    <phoneticPr fontId="1"/>
  </si>
  <si>
    <t>news://</t>
    <phoneticPr fontId="1"/>
  </si>
  <si>
    <t>0x0F</t>
    <phoneticPr fontId="1"/>
  </si>
  <si>
    <t>telnet://</t>
    <phoneticPr fontId="1"/>
  </si>
  <si>
    <t>0x10</t>
    <phoneticPr fontId="1"/>
  </si>
  <si>
    <t>imap:</t>
    <phoneticPr fontId="1"/>
  </si>
  <si>
    <t>0x11</t>
    <phoneticPr fontId="1"/>
  </si>
  <si>
    <t>rtsp://</t>
    <phoneticPr fontId="1"/>
  </si>
  <si>
    <t>0x12</t>
  </si>
  <si>
    <t>urn:</t>
    <phoneticPr fontId="1"/>
  </si>
  <si>
    <t>0x13</t>
  </si>
  <si>
    <t>pop:</t>
    <phoneticPr fontId="1"/>
  </si>
  <si>
    <t>0x14</t>
  </si>
  <si>
    <t>sip:</t>
    <phoneticPr fontId="1"/>
  </si>
  <si>
    <t>0x15</t>
  </si>
  <si>
    <t>sips:</t>
    <phoneticPr fontId="1"/>
  </si>
  <si>
    <t>0x16</t>
  </si>
  <si>
    <t>tftp:</t>
    <phoneticPr fontId="1"/>
  </si>
  <si>
    <t>0x17</t>
  </si>
  <si>
    <t>btspp://</t>
    <phoneticPr fontId="1"/>
  </si>
  <si>
    <t>0x18</t>
  </si>
  <si>
    <t>btl2cap://</t>
    <phoneticPr fontId="1"/>
  </si>
  <si>
    <t>0x19</t>
  </si>
  <si>
    <t>btgoep://</t>
    <phoneticPr fontId="1"/>
  </si>
  <si>
    <t>0x1A</t>
    <phoneticPr fontId="1"/>
  </si>
  <si>
    <t>tcpobex://</t>
    <phoneticPr fontId="1"/>
  </si>
  <si>
    <t>0x1B</t>
    <phoneticPr fontId="1"/>
  </si>
  <si>
    <t>irdaobex://</t>
    <phoneticPr fontId="1"/>
  </si>
  <si>
    <t>0x1C</t>
    <phoneticPr fontId="1"/>
  </si>
  <si>
    <t>file://</t>
    <phoneticPr fontId="1"/>
  </si>
  <si>
    <t>0x1D</t>
    <phoneticPr fontId="1"/>
  </si>
  <si>
    <t>urn:epc:id:</t>
    <phoneticPr fontId="1"/>
  </si>
  <si>
    <t>0x1E</t>
    <phoneticPr fontId="1"/>
  </si>
  <si>
    <t>urn:epc:tag:</t>
    <phoneticPr fontId="1"/>
  </si>
  <si>
    <t>0x1F</t>
    <phoneticPr fontId="1"/>
  </si>
  <si>
    <t>urn:epc:pat:</t>
    <phoneticPr fontId="1"/>
  </si>
  <si>
    <t>0x20</t>
    <phoneticPr fontId="1"/>
  </si>
  <si>
    <t>urn:epc:raw:</t>
    <phoneticPr fontId="1"/>
  </si>
  <si>
    <t>0x21</t>
    <phoneticPr fontId="1"/>
  </si>
  <si>
    <t>urn:epc:</t>
    <phoneticPr fontId="1"/>
  </si>
  <si>
    <t>0x22</t>
    <phoneticPr fontId="1"/>
  </si>
  <si>
    <t>urn:nfc:</t>
    <phoneticPr fontId="1"/>
  </si>
  <si>
    <t>0x23</t>
    <phoneticPr fontId="1"/>
  </si>
  <si>
    <t>RFU</t>
    <phoneticPr fontId="1"/>
  </si>
  <si>
    <t>0x24-0xFF</t>
    <phoneticPr fontId="1"/>
  </si>
  <si>
    <t>BasicTag</t>
    <phoneticPr fontId="1"/>
  </si>
  <si>
    <t>URI ID Code</t>
    <phoneticPr fontId="1"/>
  </si>
  <si>
    <t>http://www.</t>
  </si>
  <si>
    <t>/* NDEF Header MB=1, ME=1, CF=0, SR=1, IL=0, TNF=1 */</t>
    <phoneticPr fontId="1"/>
  </si>
  <si>
    <t>AppData</t>
    <phoneticPr fontId="1"/>
  </si>
  <si>
    <t>ApplicationData</t>
    <phoneticPr fontId="1"/>
  </si>
  <si>
    <t>Bluetooth</t>
    <phoneticPr fontId="1"/>
  </si>
  <si>
    <t>:</t>
    <phoneticPr fontId="1"/>
  </si>
  <si>
    <t>:</t>
    <phoneticPr fontId="1"/>
  </si>
  <si>
    <t>Service class</t>
    <phoneticPr fontId="1"/>
  </si>
  <si>
    <t>Major Device class</t>
    <phoneticPr fontId="1"/>
  </si>
  <si>
    <t>Minor Device class</t>
    <phoneticPr fontId="1"/>
  </si>
  <si>
    <t>EIR Data Type</t>
    <phoneticPr fontId="1"/>
  </si>
  <si>
    <t>Service Class</t>
    <phoneticPr fontId="1"/>
  </si>
  <si>
    <t xml:space="preserve">class </t>
    <phoneticPr fontId="1"/>
  </si>
  <si>
    <t>hex</t>
    <phoneticPr fontId="1"/>
  </si>
  <si>
    <t>0x01</t>
    <phoneticPr fontId="1"/>
  </si>
  <si>
    <t>Networking</t>
    <phoneticPr fontId="1"/>
  </si>
  <si>
    <t>0x02</t>
    <phoneticPr fontId="1"/>
  </si>
  <si>
    <t>Rendering</t>
    <phoneticPr fontId="1"/>
  </si>
  <si>
    <t>0x04</t>
    <phoneticPr fontId="1"/>
  </si>
  <si>
    <t>Capturing</t>
    <phoneticPr fontId="1"/>
  </si>
  <si>
    <t>0x80</t>
    <phoneticPr fontId="1"/>
  </si>
  <si>
    <t>Object Transfer</t>
    <phoneticPr fontId="1"/>
  </si>
  <si>
    <t>0x10</t>
    <phoneticPr fontId="1"/>
  </si>
  <si>
    <t>Audio</t>
    <phoneticPr fontId="1"/>
  </si>
  <si>
    <t>0x20</t>
    <phoneticPr fontId="1"/>
  </si>
  <si>
    <t>Telephony</t>
    <phoneticPr fontId="1"/>
  </si>
  <si>
    <t>0x40</t>
    <phoneticPr fontId="1"/>
  </si>
  <si>
    <t>Information</t>
    <phoneticPr fontId="1"/>
  </si>
  <si>
    <t>0x80</t>
    <phoneticPr fontId="1"/>
  </si>
  <si>
    <t>description</t>
    <phoneticPr fontId="1"/>
  </si>
  <si>
    <t>Location identification</t>
    <phoneticPr fontId="1"/>
  </si>
  <si>
    <t>LAN, Ad hoc, ...</t>
    <phoneticPr fontId="1"/>
  </si>
  <si>
    <t>Printing, Speaker, ...</t>
    <phoneticPr fontId="1"/>
  </si>
  <si>
    <t>Scanner, Microphone, ...</t>
    <phoneticPr fontId="1"/>
  </si>
  <si>
    <t>v-Inbox, v-Folder, ...</t>
    <phoneticPr fontId="1"/>
  </si>
  <si>
    <t>Speaker, Microphone, Headset service, ...</t>
    <phoneticPr fontId="1"/>
  </si>
  <si>
    <t>Cordless telephony, Modem, Headset service, ...</t>
    <phoneticPr fontId="1"/>
  </si>
  <si>
    <t>WEB-server, WEP-server, ...</t>
    <phoneticPr fontId="1"/>
  </si>
  <si>
    <t>Major Device Class</t>
    <phoneticPr fontId="1"/>
  </si>
  <si>
    <t>name</t>
    <phoneticPr fontId="1"/>
  </si>
  <si>
    <t>Miscellaneous</t>
    <phoneticPr fontId="1"/>
  </si>
  <si>
    <t>0x00</t>
    <phoneticPr fontId="1"/>
  </si>
  <si>
    <t>0x01</t>
    <phoneticPr fontId="1"/>
  </si>
  <si>
    <t>0x02</t>
    <phoneticPr fontId="1"/>
  </si>
  <si>
    <t>0x03</t>
    <phoneticPr fontId="1"/>
  </si>
  <si>
    <t>0x04</t>
    <phoneticPr fontId="1"/>
  </si>
  <si>
    <t>0x05</t>
    <phoneticPr fontId="1"/>
  </si>
  <si>
    <t>0x06</t>
    <phoneticPr fontId="1"/>
  </si>
  <si>
    <t>0x1F</t>
    <phoneticPr fontId="1"/>
  </si>
  <si>
    <t>Computer</t>
    <phoneticPr fontId="1"/>
  </si>
  <si>
    <t>Phone</t>
    <phoneticPr fontId="1"/>
  </si>
  <si>
    <t>Audio/Video</t>
    <phoneticPr fontId="1"/>
  </si>
  <si>
    <t>Peripheral</t>
    <phoneticPr fontId="1"/>
  </si>
  <si>
    <t>Imaging</t>
    <phoneticPr fontId="1"/>
  </si>
  <si>
    <t>Uncategorized</t>
    <phoneticPr fontId="1"/>
  </si>
  <si>
    <t>desktop, notebook, PDA, organizers, ...</t>
    <phoneticPr fontId="1"/>
  </si>
  <si>
    <t>cellular, cordless, payphone, modem, ...</t>
    <phoneticPr fontId="1"/>
  </si>
  <si>
    <t>headset, speaker, stereo, video display, vcr, ...</t>
    <phoneticPr fontId="1"/>
  </si>
  <si>
    <t>mouse, joystick, keyboards, ...</t>
    <phoneticPr fontId="1"/>
  </si>
  <si>
    <t>printing, scanner, camera, display, ...</t>
    <phoneticPr fontId="1"/>
  </si>
  <si>
    <t>Minor 0x01 Computer</t>
    <phoneticPr fontId="1"/>
  </si>
  <si>
    <t>Name</t>
    <phoneticPr fontId="1"/>
  </si>
  <si>
    <t xml:space="preserve">Uncategorized, code for device not assigned </t>
    <phoneticPr fontId="1"/>
  </si>
  <si>
    <t>Desktop workstation</t>
    <phoneticPr fontId="1"/>
  </si>
  <si>
    <t>0x04</t>
    <phoneticPr fontId="1"/>
  </si>
  <si>
    <t>0x08</t>
    <phoneticPr fontId="1"/>
  </si>
  <si>
    <t>Server-class computer</t>
    <phoneticPr fontId="1"/>
  </si>
  <si>
    <t>Laptop</t>
    <phoneticPr fontId="1"/>
  </si>
  <si>
    <t>Handheld PC/PDA</t>
    <phoneticPr fontId="1"/>
  </si>
  <si>
    <t>0x0C</t>
    <phoneticPr fontId="1"/>
  </si>
  <si>
    <t>0x10</t>
    <phoneticPr fontId="1"/>
  </si>
  <si>
    <t>0x14</t>
    <phoneticPr fontId="1"/>
  </si>
  <si>
    <t>Palm sized PC/PDA</t>
    <phoneticPr fontId="1"/>
  </si>
  <si>
    <t>Wearable computer</t>
    <phoneticPr fontId="1"/>
  </si>
  <si>
    <t>0x18</t>
    <phoneticPr fontId="1"/>
  </si>
  <si>
    <t xml:space="preserve">Minor 0x02 Phone </t>
    <phoneticPr fontId="1"/>
  </si>
  <si>
    <t>Name</t>
    <phoneticPr fontId="1"/>
  </si>
  <si>
    <t>Hex</t>
    <phoneticPr fontId="1"/>
  </si>
  <si>
    <t>Uncategorized, code for device not assigned</t>
    <phoneticPr fontId="1"/>
  </si>
  <si>
    <t>0x00</t>
    <phoneticPr fontId="1"/>
  </si>
  <si>
    <t>Cellular</t>
    <phoneticPr fontId="1"/>
  </si>
  <si>
    <t>Cordless</t>
    <phoneticPr fontId="1"/>
  </si>
  <si>
    <t>Smart phone</t>
    <phoneticPr fontId="1"/>
  </si>
  <si>
    <t>Wired modem or voice gateway</t>
    <phoneticPr fontId="1"/>
  </si>
  <si>
    <t>Common ISDN Access</t>
    <phoneticPr fontId="1"/>
  </si>
  <si>
    <t>0x04</t>
    <phoneticPr fontId="1"/>
  </si>
  <si>
    <t>0x08</t>
    <phoneticPr fontId="1"/>
  </si>
  <si>
    <t>0x14</t>
    <phoneticPr fontId="1"/>
  </si>
  <si>
    <t>0x0C</t>
    <phoneticPr fontId="1"/>
  </si>
  <si>
    <t>0x10</t>
    <phoneticPr fontId="1"/>
  </si>
  <si>
    <t>Fully available</t>
    <phoneticPr fontId="1"/>
  </si>
  <si>
    <t>1-17% utilized</t>
    <phoneticPr fontId="1"/>
  </si>
  <si>
    <t>17-33% utilized</t>
    <phoneticPr fontId="1"/>
  </si>
  <si>
    <t>33-50% utilized</t>
    <phoneticPr fontId="1"/>
  </si>
  <si>
    <t>50-67% utilized</t>
    <phoneticPr fontId="1"/>
  </si>
  <si>
    <t>67-83% utilized</t>
    <phoneticPr fontId="1"/>
  </si>
  <si>
    <t>83-99% utilized</t>
    <phoneticPr fontId="1"/>
  </si>
  <si>
    <t>No service available</t>
    <phoneticPr fontId="1"/>
  </si>
  <si>
    <t>0x00</t>
    <phoneticPr fontId="1"/>
  </si>
  <si>
    <t>0x20</t>
    <phoneticPr fontId="1"/>
  </si>
  <si>
    <t>0x40</t>
    <phoneticPr fontId="1"/>
  </si>
  <si>
    <t>0x60</t>
    <phoneticPr fontId="1"/>
  </si>
  <si>
    <t>0x80</t>
    <phoneticPr fontId="1"/>
  </si>
  <si>
    <t>0xA0</t>
    <phoneticPr fontId="1"/>
  </si>
  <si>
    <t>0xC0</t>
    <phoneticPr fontId="1"/>
  </si>
  <si>
    <t>0xE0</t>
    <phoneticPr fontId="1"/>
  </si>
  <si>
    <t>Minor 0x04 AUDIO/VIDEO</t>
    <phoneticPr fontId="1"/>
  </si>
  <si>
    <t>Name</t>
    <phoneticPr fontId="1"/>
  </si>
  <si>
    <t>Uncategorized, code not assigned</t>
    <phoneticPr fontId="1"/>
  </si>
  <si>
    <t>Hands-free</t>
    <phoneticPr fontId="1"/>
  </si>
  <si>
    <t>Reserved</t>
    <phoneticPr fontId="1"/>
  </si>
  <si>
    <t>-</t>
    <phoneticPr fontId="1"/>
  </si>
  <si>
    <t>Microphone</t>
    <phoneticPr fontId="1"/>
  </si>
  <si>
    <t>Loudspeaker</t>
    <phoneticPr fontId="1"/>
  </si>
  <si>
    <t>Headphones</t>
    <phoneticPr fontId="1"/>
  </si>
  <si>
    <t>Portable Audio</t>
    <phoneticPr fontId="1"/>
  </si>
  <si>
    <t>Car audio</t>
    <phoneticPr fontId="1"/>
  </si>
  <si>
    <t>Set-top box</t>
    <phoneticPr fontId="1"/>
  </si>
  <si>
    <t>HiFi Audio Device</t>
    <phoneticPr fontId="1"/>
  </si>
  <si>
    <t>VCR</t>
    <phoneticPr fontId="1"/>
  </si>
  <si>
    <t>Video Camera</t>
    <phoneticPr fontId="1"/>
  </si>
  <si>
    <t>0x08</t>
    <phoneticPr fontId="1"/>
  </si>
  <si>
    <t>0x10</t>
    <phoneticPr fontId="1"/>
  </si>
  <si>
    <t>Camcorder</t>
    <phoneticPr fontId="1"/>
  </si>
  <si>
    <t>Video Monitor</t>
    <phoneticPr fontId="1"/>
  </si>
  <si>
    <t>Video Display and oudspeaker</t>
    <phoneticPr fontId="1"/>
  </si>
  <si>
    <t>Video Conferencing</t>
    <phoneticPr fontId="1"/>
  </si>
  <si>
    <t>0x18</t>
    <phoneticPr fontId="1"/>
  </si>
  <si>
    <t>0x1C</t>
    <phoneticPr fontId="1"/>
  </si>
  <si>
    <t>0x20</t>
    <phoneticPr fontId="1"/>
  </si>
  <si>
    <t>0x24</t>
    <phoneticPr fontId="1"/>
  </si>
  <si>
    <t>0x28</t>
    <phoneticPr fontId="1"/>
  </si>
  <si>
    <t>0x2C</t>
    <phoneticPr fontId="1"/>
  </si>
  <si>
    <t>0x30</t>
    <phoneticPr fontId="1"/>
  </si>
  <si>
    <t>0x34</t>
    <phoneticPr fontId="1"/>
  </si>
  <si>
    <t>0x38</t>
    <phoneticPr fontId="1"/>
  </si>
  <si>
    <t>0x3C</t>
    <phoneticPr fontId="1"/>
  </si>
  <si>
    <t>0x40</t>
    <phoneticPr fontId="1"/>
  </si>
  <si>
    <t>-</t>
    <phoneticPr fontId="1"/>
  </si>
  <si>
    <t>Hex 76</t>
    <phoneticPr fontId="1"/>
  </si>
  <si>
    <t>Keyboard</t>
    <phoneticPr fontId="1"/>
  </si>
  <si>
    <t>0x40</t>
    <phoneticPr fontId="1"/>
  </si>
  <si>
    <t>Pointing device</t>
    <phoneticPr fontId="1"/>
  </si>
  <si>
    <t>0x80</t>
    <phoneticPr fontId="1"/>
  </si>
  <si>
    <t>Combo keyboard/pointing device</t>
    <phoneticPr fontId="1"/>
  </si>
  <si>
    <t>0xC0</t>
    <phoneticPr fontId="1"/>
  </si>
  <si>
    <t>Name</t>
    <phoneticPr fontId="1"/>
  </si>
  <si>
    <t>Hex 5-0</t>
    <phoneticPr fontId="1"/>
  </si>
  <si>
    <t>Uncategorized device</t>
    <phoneticPr fontId="1"/>
  </si>
  <si>
    <t>0x00</t>
    <phoneticPr fontId="1"/>
  </si>
  <si>
    <t>Joystick</t>
    <phoneticPr fontId="1"/>
  </si>
  <si>
    <t>Gamepad</t>
    <phoneticPr fontId="1"/>
  </si>
  <si>
    <t>0x08</t>
    <phoneticPr fontId="1"/>
  </si>
  <si>
    <t>Remote control</t>
    <phoneticPr fontId="1"/>
  </si>
  <si>
    <t>0x0C</t>
    <phoneticPr fontId="1"/>
  </si>
  <si>
    <t>Sensing device</t>
    <phoneticPr fontId="1"/>
  </si>
  <si>
    <t>0x10</t>
    <phoneticPr fontId="1"/>
  </si>
  <si>
    <t>Digitizer tablet</t>
    <phoneticPr fontId="1"/>
  </si>
  <si>
    <t>Card Reader</t>
    <phoneticPr fontId="1"/>
  </si>
  <si>
    <t>0x18</t>
    <phoneticPr fontId="1"/>
  </si>
  <si>
    <t>Peripheral  0x05</t>
    <phoneticPr fontId="1"/>
  </si>
  <si>
    <t>Imaging 0x06</t>
    <phoneticPr fontId="1"/>
  </si>
  <si>
    <t>Display</t>
    <phoneticPr fontId="1"/>
  </si>
  <si>
    <t>Camera</t>
    <phoneticPr fontId="1"/>
  </si>
  <si>
    <t>0x10</t>
    <phoneticPr fontId="1"/>
  </si>
  <si>
    <t>0x30</t>
    <phoneticPr fontId="1"/>
  </si>
  <si>
    <t>0x20</t>
    <phoneticPr fontId="1"/>
  </si>
  <si>
    <t>Scanner</t>
    <phoneticPr fontId="1"/>
  </si>
  <si>
    <t>0x40</t>
    <phoneticPr fontId="1"/>
  </si>
  <si>
    <t>Scanner &amp; Display</t>
    <phoneticPr fontId="1"/>
  </si>
  <si>
    <t>0x50</t>
    <phoneticPr fontId="1"/>
  </si>
  <si>
    <t>Scanner &amp; Camera</t>
    <phoneticPr fontId="1"/>
  </si>
  <si>
    <t>0x60</t>
    <phoneticPr fontId="1"/>
  </si>
  <si>
    <t>Scanner &amp; Camera &amp; Display</t>
    <phoneticPr fontId="1"/>
  </si>
  <si>
    <t>0x70</t>
    <phoneticPr fontId="1"/>
  </si>
  <si>
    <t>Printer</t>
    <phoneticPr fontId="1"/>
  </si>
  <si>
    <t>0x80</t>
    <phoneticPr fontId="1"/>
  </si>
  <si>
    <t>Printer &amp; Display</t>
    <phoneticPr fontId="1"/>
  </si>
  <si>
    <t>0x90</t>
    <phoneticPr fontId="1"/>
  </si>
  <si>
    <t>Printer &amp; Camera</t>
    <phoneticPr fontId="1"/>
  </si>
  <si>
    <t>0xA0</t>
    <phoneticPr fontId="1"/>
  </si>
  <si>
    <t>Printer &amp; Camera &amp; Display</t>
    <phoneticPr fontId="1"/>
  </si>
  <si>
    <t>0xB0</t>
    <phoneticPr fontId="1"/>
  </si>
  <si>
    <t>Printer &amp; Scanner</t>
    <phoneticPr fontId="1"/>
  </si>
  <si>
    <t>0xC0</t>
    <phoneticPr fontId="1"/>
  </si>
  <si>
    <t>Printer &amp; Scanner &amp; Display</t>
    <phoneticPr fontId="1"/>
  </si>
  <si>
    <t>0xD0</t>
    <phoneticPr fontId="1"/>
  </si>
  <si>
    <t>Printer &amp; Scanner &amp; Camera</t>
    <phoneticPr fontId="1"/>
  </si>
  <si>
    <t>0xE0</t>
    <phoneticPr fontId="1"/>
  </si>
  <si>
    <t>Printer &amp; Scanner &amp; Camera &amp; Display</t>
    <phoneticPr fontId="1"/>
  </si>
  <si>
    <t>0xF0</t>
    <phoneticPr fontId="1"/>
  </si>
  <si>
    <t>Camera &amp; Display</t>
    <phoneticPr fontId="1"/>
  </si>
  <si>
    <t>Protocol Name</t>
    <phoneticPr fontId="1"/>
  </si>
  <si>
    <t>UUID</t>
    <phoneticPr fontId="1"/>
  </si>
  <si>
    <t>Specification</t>
    <phoneticPr fontId="1"/>
  </si>
  <si>
    <t>ServiceDiscoveryServerServiceClassID</t>
  </si>
  <si>
    <t>0x1000</t>
  </si>
  <si>
    <t>BrowseGroupDescriptorServiceClassID</t>
  </si>
  <si>
    <t>0x1001</t>
  </si>
  <si>
    <t>SerialPort</t>
  </si>
  <si>
    <t>0x1101</t>
  </si>
  <si>
    <t>Serial Port Profile (SPP)</t>
  </si>
  <si>
    <t>LANAccessUsingPPP</t>
  </si>
  <si>
    <t>0x1102</t>
  </si>
  <si>
    <t>LAN Access Profile</t>
  </si>
  <si>
    <t>DialupNetworking</t>
  </si>
  <si>
    <t>0x1103</t>
  </si>
  <si>
    <t>Dial-up Networking Profile (DUN)</t>
  </si>
  <si>
    <t>IrMCSync</t>
  </si>
  <si>
    <t>0x1104</t>
  </si>
  <si>
    <t>Synchronization Profile (SYNC)</t>
  </si>
  <si>
    <t>OBEXObjectPush</t>
  </si>
  <si>
    <t>0x1105</t>
  </si>
  <si>
    <t>Object Push Profile (OPP)</t>
  </si>
  <si>
    <t>OBEXFileTransfer</t>
  </si>
  <si>
    <t>0x1106</t>
  </si>
  <si>
    <t>File Transfer Profile (FTP)</t>
  </si>
  <si>
    <t>IrMCSyncCommand</t>
  </si>
  <si>
    <t>0x1107</t>
  </si>
  <si>
    <t>Headset</t>
  </si>
  <si>
    <t>0x1108</t>
  </si>
  <si>
    <t>Headset Profile (HSP)</t>
  </si>
  <si>
    <t>CordlessTelephony</t>
  </si>
  <si>
    <t>0x1109</t>
  </si>
  <si>
    <t>Cordless Telephony Profile (CTP)</t>
  </si>
  <si>
    <t>AudioSource</t>
  </si>
  <si>
    <t>0x110A</t>
  </si>
  <si>
    <t>Advanced Audio Distribution Profile (A2DP)</t>
  </si>
  <si>
    <t>AudioSink</t>
  </si>
  <si>
    <t>0x110B</t>
  </si>
  <si>
    <t>Bluetooth Core Specification</t>
  </si>
  <si>
    <t>A/V_RemoteControlTarget</t>
  </si>
  <si>
    <t>0x110C</t>
  </si>
  <si>
    <t>Audio/Video Remote Control Profile (AVRCP)</t>
  </si>
  <si>
    <t>AdvancedAudioDistribution</t>
  </si>
  <si>
    <t>0x110D</t>
  </si>
  <si>
    <t>A/V_RemoteControl</t>
  </si>
  <si>
    <t>0x110E</t>
  </si>
  <si>
    <t>A/V_RemoteControlController</t>
  </si>
  <si>
    <t>0x110F</t>
  </si>
  <si>
    <t>Intercom</t>
  </si>
  <si>
    <t>0x1110</t>
  </si>
  <si>
    <t>Intercom Profile (ICP)</t>
  </si>
  <si>
    <t>Fax</t>
  </si>
  <si>
    <t>0x1111</t>
  </si>
  <si>
    <t>Fax Profile (FAX)</t>
  </si>
  <si>
    <t>Headset - Audio Gateway (AG)</t>
  </si>
  <si>
    <t>0x1112</t>
  </si>
  <si>
    <t>WAP</t>
  </si>
  <si>
    <t>0x1113</t>
  </si>
  <si>
    <t>WAP_CLIENT</t>
  </si>
  <si>
    <t>0x1114</t>
  </si>
  <si>
    <t>PANU</t>
  </si>
  <si>
    <t>0x1115</t>
  </si>
  <si>
    <t>Personal Area Networking Profile (PAN)</t>
  </si>
  <si>
    <t>NAP</t>
  </si>
  <si>
    <t>0x1116</t>
  </si>
  <si>
    <t>GN</t>
  </si>
  <si>
    <t>0x1117</t>
  </si>
  <si>
    <t>DirectPrinting</t>
  </si>
  <si>
    <t>0x1118</t>
  </si>
  <si>
    <t>Basic Printing Profile (BPP)</t>
  </si>
  <si>
    <t>ReferencePrinting</t>
  </si>
  <si>
    <t>0x1119</t>
  </si>
  <si>
    <t>See Basic Printing Profile (BPP)</t>
  </si>
  <si>
    <t>Interoperability Requirements for Bluetooth technology as a WAP, Bluetooth SIG [DEPRECATED]</t>
  </si>
  <si>
    <t>Basic Imaging Profile</t>
  </si>
  <si>
    <t>0x111A</t>
  </si>
  <si>
    <t>Basic Imaging Profile (BIP)</t>
  </si>
  <si>
    <t>ImagingResponder</t>
  </si>
  <si>
    <t>0x111B</t>
  </si>
  <si>
    <t>ImagingAutomaticArchive</t>
  </si>
  <si>
    <t>0x111C</t>
  </si>
  <si>
    <t>ImagingReferencedObjects</t>
  </si>
  <si>
    <t>0x111D</t>
  </si>
  <si>
    <t>Handsfree</t>
  </si>
  <si>
    <t>0x111E</t>
  </si>
  <si>
    <t>Hands-Free Profile (HFP)</t>
  </si>
  <si>
    <t>HandsfreeAudioGateway</t>
  </si>
  <si>
    <t>0x111F</t>
  </si>
  <si>
    <t>Hands-free Profile (HFP)</t>
  </si>
  <si>
    <t>DirectPrintingReferenceObjectsService</t>
  </si>
  <si>
    <t>0x1120</t>
  </si>
  <si>
    <t>ReflectedUI</t>
  </si>
  <si>
    <t>0x1121</t>
  </si>
  <si>
    <t>BasicPrinting</t>
  </si>
  <si>
    <t>0x1122</t>
  </si>
  <si>
    <t>PrintingStatus</t>
  </si>
  <si>
    <t>0x1123</t>
  </si>
  <si>
    <t>HumanInterfaceDeviceService</t>
  </si>
  <si>
    <t>0x1124</t>
  </si>
  <si>
    <t>Human Interface Device (HID)</t>
  </si>
  <si>
    <t>HardcopyCableReplacement</t>
  </si>
  <si>
    <t>0x1125</t>
  </si>
  <si>
    <t>Hardcopy Cable Replacement Profile (HCRP)</t>
  </si>
  <si>
    <t>HCR_Print</t>
  </si>
  <si>
    <t>0x1126</t>
  </si>
  <si>
    <t>HCR_Scan</t>
  </si>
  <si>
    <t>0x1127</t>
  </si>
  <si>
    <t>Common_ISDN_Access</t>
  </si>
  <si>
    <t>0x1128</t>
  </si>
  <si>
    <t>Common ISDN Access Profile (CIP)</t>
  </si>
  <si>
    <t>SIM_Access</t>
  </si>
  <si>
    <t>0x112D</t>
  </si>
  <si>
    <t>SIM Access Profile (SAP)</t>
  </si>
  <si>
    <t>Phonebook Access - PCE</t>
  </si>
  <si>
    <t>0x112E</t>
  </si>
  <si>
    <t>Phonebook Access Profile (PBAP)</t>
  </si>
  <si>
    <t>Phonebook Access - PSE</t>
  </si>
  <si>
    <t>0x112F</t>
  </si>
  <si>
    <t>Phonebook Access</t>
  </si>
  <si>
    <t>0x1130</t>
  </si>
  <si>
    <t>Headset - HS</t>
  </si>
  <si>
    <t>0x1131</t>
  </si>
  <si>
    <t>Message Access Server</t>
  </si>
  <si>
    <t>0x1132</t>
  </si>
  <si>
    <t>Message Access Profile (MAP)</t>
  </si>
  <si>
    <t>Message Notification Server</t>
  </si>
  <si>
    <t>0x1133</t>
  </si>
  <si>
    <t>Message Access Profile</t>
  </si>
  <si>
    <t>0x1134</t>
  </si>
  <si>
    <t>GNSS</t>
  </si>
  <si>
    <t>0x1135</t>
  </si>
  <si>
    <t>Global Navigation Satellite System Profile (GNSS)</t>
  </si>
  <si>
    <t>GNSS_Server</t>
  </si>
  <si>
    <t>0x1136</t>
  </si>
  <si>
    <t>PnPInformation</t>
  </si>
  <si>
    <t>0x1200</t>
  </si>
  <si>
    <t>Device Identification (DID)</t>
  </si>
  <si>
    <t>GenericNetworking</t>
  </si>
  <si>
    <t>0x1201</t>
  </si>
  <si>
    <t>N/A</t>
  </si>
  <si>
    <t>GenericFileTransfer</t>
  </si>
  <si>
    <t>0x1202</t>
  </si>
  <si>
    <t>GenericAudio</t>
  </si>
  <si>
    <t>0x1203</t>
  </si>
  <si>
    <t>GenericTelephony</t>
  </si>
  <si>
    <t>0x1204</t>
  </si>
  <si>
    <t>UPNP_Service</t>
  </si>
  <si>
    <t>0x1205</t>
  </si>
  <si>
    <t>UPNP_IP_Service</t>
  </si>
  <si>
    <t>0x1206</t>
  </si>
  <si>
    <t>ESDP_UPNP_IP_PAN</t>
  </si>
  <si>
    <t>0x1300</t>
  </si>
  <si>
    <t>ESDP_UPNP_IP_LAP</t>
  </si>
  <si>
    <t>0x1301</t>
  </si>
  <si>
    <t>ESDP_UPNP_L2CAP</t>
  </si>
  <si>
    <t>0x1302</t>
  </si>
  <si>
    <t>VideoSource</t>
  </si>
  <si>
    <t>0x1303</t>
  </si>
  <si>
    <t>Video Distribution Profile (VDP)</t>
  </si>
  <si>
    <t>VideoSink</t>
  </si>
  <si>
    <t>0x1304</t>
  </si>
  <si>
    <t>Enhanced Service Discovery Profile (ESDP) [DEPRECATED]</t>
  </si>
  <si>
    <t>Enhanced Service Discovery Profile (ESDP)[DEPRECATED]</t>
  </si>
  <si>
    <t>VideoDistribution</t>
  </si>
  <si>
    <t>0x1305</t>
  </si>
  <si>
    <t>HDP</t>
  </si>
  <si>
    <t>0x1400</t>
  </si>
  <si>
    <t>Health Device Profile</t>
  </si>
  <si>
    <t>HDP Source</t>
  </si>
  <si>
    <t>0x1401</t>
  </si>
  <si>
    <t>Health Device Profile (HDP)</t>
  </si>
  <si>
    <t>HDP Sink</t>
  </si>
  <si>
    <t>0x1402</t>
  </si>
  <si>
    <t>Device Address</t>
    <phoneticPr fontId="1"/>
  </si>
  <si>
    <t>MSB</t>
    <phoneticPr fontId="1"/>
  </si>
  <si>
    <t>LSB</t>
    <phoneticPr fontId="1"/>
  </si>
  <si>
    <t>0x01</t>
    <phoneticPr fontId="1"/>
  </si>
  <si>
    <t>0x02</t>
    <phoneticPr fontId="1"/>
  </si>
  <si>
    <t>0x03</t>
    <phoneticPr fontId="1"/>
  </si>
  <si>
    <t>0x04</t>
    <phoneticPr fontId="1"/>
  </si>
  <si>
    <t>UUID-1</t>
    <phoneticPr fontId="1"/>
  </si>
  <si>
    <t>UUID-2</t>
    <phoneticPr fontId="1"/>
  </si>
  <si>
    <t>2nd Area</t>
    <phoneticPr fontId="1"/>
  </si>
  <si>
    <t>Local Name</t>
    <phoneticPr fontId="1"/>
  </si>
  <si>
    <t>EIR Data Type</t>
    <phoneticPr fontId="1"/>
  </si>
  <si>
    <t>Name</t>
    <phoneticPr fontId="1"/>
  </si>
  <si>
    <t>Hex</t>
    <phoneticPr fontId="1"/>
  </si>
  <si>
    <t>Bluetootu Local Name</t>
    <phoneticPr fontId="1"/>
  </si>
  <si>
    <t>0x09</t>
    <phoneticPr fontId="1"/>
  </si>
  <si>
    <t>0x08</t>
    <phoneticPr fontId="1"/>
  </si>
  <si>
    <t>Simple Pairing Hash C</t>
    <phoneticPr fontId="1"/>
  </si>
  <si>
    <t>0x0E</t>
    <phoneticPr fontId="1"/>
  </si>
  <si>
    <t>Simple Pairing Randomizer R</t>
    <phoneticPr fontId="1"/>
  </si>
  <si>
    <t>0x0F</t>
    <phoneticPr fontId="1"/>
  </si>
  <si>
    <t>Service Class UUID</t>
    <phoneticPr fontId="1"/>
  </si>
  <si>
    <t>0x02</t>
    <phoneticPr fontId="1"/>
  </si>
  <si>
    <t>0x03</t>
    <phoneticPr fontId="1"/>
  </si>
  <si>
    <t>0x04</t>
    <phoneticPr fontId="1"/>
  </si>
  <si>
    <t>0x05</t>
    <phoneticPr fontId="1"/>
  </si>
  <si>
    <t>0x06</t>
    <phoneticPr fontId="1"/>
  </si>
  <si>
    <t>0x07</t>
    <phoneticPr fontId="1"/>
  </si>
  <si>
    <t>Class of Device</t>
    <phoneticPr fontId="1"/>
  </si>
  <si>
    <t>0x0D</t>
    <phoneticPr fontId="1"/>
  </si>
  <si>
    <t>Minor 0x00 Miscellaneous</t>
    <phoneticPr fontId="1"/>
  </si>
  <si>
    <t>-</t>
    <phoneticPr fontId="1"/>
  </si>
  <si>
    <t>LAN/Network_Access_Point</t>
    <phoneticPr fontId="1"/>
  </si>
  <si>
    <t>Minor 0x03 LAN/Network_Access_Point</t>
    <phoneticPr fontId="1"/>
  </si>
  <si>
    <t>mj_name</t>
    <phoneticPr fontId="1"/>
  </si>
  <si>
    <t>MJ_00</t>
    <phoneticPr fontId="1"/>
  </si>
  <si>
    <t>MJ_01</t>
    <phoneticPr fontId="1"/>
  </si>
  <si>
    <t>MJ_02</t>
    <phoneticPr fontId="1"/>
  </si>
  <si>
    <t>MJ_03</t>
    <phoneticPr fontId="1"/>
  </si>
  <si>
    <t>MJ_04</t>
    <phoneticPr fontId="1"/>
  </si>
  <si>
    <t>MJ_05</t>
    <phoneticPr fontId="1"/>
  </si>
  <si>
    <t>MJ_06</t>
    <phoneticPr fontId="1"/>
  </si>
  <si>
    <t>MJ_07</t>
    <phoneticPr fontId="1"/>
  </si>
  <si>
    <t>Selected Major Class</t>
    <phoneticPr fontId="1"/>
  </si>
  <si>
    <t>mj_name2</t>
    <phoneticPr fontId="1"/>
  </si>
  <si>
    <t>MJ2_05</t>
    <phoneticPr fontId="1"/>
  </si>
  <si>
    <t>MJ2_Other</t>
    <phoneticPr fontId="1"/>
  </si>
  <si>
    <t>-</t>
    <phoneticPr fontId="1"/>
  </si>
  <si>
    <t>MJ2_Other</t>
    <phoneticPr fontId="1"/>
  </si>
  <si>
    <t>Add Ex EIR Data</t>
    <phoneticPr fontId="1"/>
  </si>
  <si>
    <t>Selected Major Class2</t>
    <phoneticPr fontId="1"/>
  </si>
  <si>
    <t>Major1 vlook table</t>
    <phoneticPr fontId="1"/>
  </si>
  <si>
    <t>0x00</t>
    <phoneticPr fontId="1"/>
  </si>
  <si>
    <t>0x01</t>
    <phoneticPr fontId="1"/>
  </si>
  <si>
    <t>0x02</t>
    <phoneticPr fontId="1"/>
  </si>
  <si>
    <t>0x03</t>
    <phoneticPr fontId="1"/>
  </si>
  <si>
    <t>0x04</t>
    <phoneticPr fontId="1"/>
  </si>
  <si>
    <t>0x05</t>
    <phoneticPr fontId="1"/>
  </si>
  <si>
    <t>0x06</t>
    <phoneticPr fontId="1"/>
  </si>
  <si>
    <t>0x00</t>
    <phoneticPr fontId="1"/>
  </si>
  <si>
    <t>Major2 vlook table</t>
    <phoneticPr fontId="1"/>
  </si>
  <si>
    <t>0x00</t>
    <phoneticPr fontId="1"/>
  </si>
  <si>
    <t>Positioning</t>
    <phoneticPr fontId="1"/>
  </si>
  <si>
    <t>...</t>
    <phoneticPr fontId="1"/>
  </si>
  <si>
    <t>LAN, Network</t>
    <phoneticPr fontId="1"/>
  </si>
  <si>
    <t>-</t>
  </si>
  <si>
    <t>AddExData</t>
    <phoneticPr fontId="1"/>
  </si>
  <si>
    <t>Yes</t>
  </si>
  <si>
    <t>Yes</t>
    <phoneticPr fontId="1"/>
  </si>
  <si>
    <t>No</t>
    <phoneticPr fontId="1"/>
  </si>
  <si>
    <t>0x05</t>
    <phoneticPr fontId="1"/>
  </si>
  <si>
    <t>UUID</t>
    <phoneticPr fontId="1"/>
  </si>
  <si>
    <t>application/vnd.bluetooth.ep.oob</t>
    <phoneticPr fontId="1"/>
  </si>
  <si>
    <t>16bit</t>
    <phoneticPr fontId="1"/>
  </si>
  <si>
    <t>16bit</t>
    <phoneticPr fontId="1"/>
  </si>
  <si>
    <t>32bit</t>
    <phoneticPr fontId="1"/>
  </si>
  <si>
    <t>32bit</t>
    <phoneticPr fontId="1"/>
  </si>
  <si>
    <t>128bit</t>
    <phoneticPr fontId="1"/>
  </si>
  <si>
    <t>128bit</t>
    <phoneticPr fontId="1"/>
  </si>
  <si>
    <t>Complete list</t>
    <phoneticPr fontId="1"/>
  </si>
  <si>
    <t>Complete local name</t>
    <phoneticPr fontId="1"/>
  </si>
  <si>
    <t>0x01</t>
    <phoneticPr fontId="1"/>
  </si>
  <si>
    <t>Flags</t>
    <phoneticPr fontId="1"/>
  </si>
  <si>
    <t>Manufacturer Specific Data</t>
    <phoneticPr fontId="1"/>
  </si>
  <si>
    <t>0xFF</t>
    <phoneticPr fontId="1"/>
  </si>
  <si>
    <t>TX Power Level</t>
    <phoneticPr fontId="1"/>
  </si>
  <si>
    <t>0x0A</t>
    <phoneticPr fontId="1"/>
  </si>
  <si>
    <t>HEX</t>
    <phoneticPr fontId="1"/>
  </si>
  <si>
    <t>Optional Data HEX</t>
    <phoneticPr fontId="1"/>
  </si>
  <si>
    <t>Yes</t>
    <phoneticPr fontId="1"/>
  </si>
  <si>
    <t>No</t>
    <phoneticPr fontId="1"/>
  </si>
  <si>
    <t>-</t>
    <phoneticPr fontId="1"/>
  </si>
  <si>
    <t>0x00</t>
    <phoneticPr fontId="1"/>
  </si>
  <si>
    <t>...</t>
    <phoneticPr fontId="1"/>
  </si>
  <si>
    <t>AddClassD</t>
    <phoneticPr fontId="1"/>
  </si>
  <si>
    <t>No</t>
    <phoneticPr fontId="1"/>
  </si>
  <si>
    <t>UUID-3</t>
    <phoneticPr fontId="1"/>
  </si>
  <si>
    <t>0x0000</t>
    <phoneticPr fontId="1"/>
  </si>
  <si>
    <t>Other EIR</t>
    <phoneticPr fontId="1"/>
  </si>
  <si>
    <t>0xDA,</t>
    <phoneticPr fontId="1"/>
  </si>
  <si>
    <t>/* NDEF Header MB=1, ME=1, CF=0, SR=1, IL=1, TNF=2 */</t>
    <phoneticPr fontId="1"/>
  </si>
  <si>
    <t>ID</t>
    <phoneticPr fontId="1"/>
  </si>
  <si>
    <t>ID Length</t>
    <phoneticPr fontId="1"/>
  </si>
  <si>
    <t xml:space="preserve">0x01, </t>
    <phoneticPr fontId="1"/>
  </si>
  <si>
    <t xml:space="preserve">0x01, </t>
    <phoneticPr fontId="1"/>
  </si>
  <si>
    <t>0x20,</t>
    <phoneticPr fontId="1"/>
  </si>
  <si>
    <t>BT Type</t>
    <phoneticPr fontId="1"/>
  </si>
  <si>
    <t>Record Type: application/vnd.bluetooth.ep.oob</t>
    <phoneticPr fontId="1"/>
  </si>
  <si>
    <t>Bluetooth OOB Data Length</t>
    <phoneticPr fontId="1"/>
  </si>
  <si>
    <t>Device Address</t>
    <phoneticPr fontId="1"/>
  </si>
  <si>
    <t>/* Type Name: application/vnd.bluetooth.ep.oob */</t>
    <phoneticPr fontId="1"/>
  </si>
  <si>
    <t>/* Bluetooth OOB Data */</t>
    <phoneticPr fontId="1"/>
  </si>
  <si>
    <t>/* OOB Data Length */</t>
    <phoneticPr fontId="1"/>
  </si>
  <si>
    <t>Local Name</t>
    <phoneticPr fontId="1"/>
  </si>
  <si>
    <t>Local Name Length</t>
    <phoneticPr fontId="1"/>
  </si>
  <si>
    <t>Local Name EIR Data Type</t>
    <phoneticPr fontId="1"/>
  </si>
  <si>
    <t>Local Name Field</t>
    <phoneticPr fontId="1"/>
  </si>
  <si>
    <t xml:space="preserve">   +1</t>
    <phoneticPr fontId="1"/>
  </si>
  <si>
    <t>EIR Local Name</t>
    <phoneticPr fontId="1"/>
  </si>
  <si>
    <t xml:space="preserve">0x09, </t>
    <phoneticPr fontId="1"/>
  </si>
  <si>
    <t>If Yes/No</t>
    <phoneticPr fontId="1"/>
  </si>
  <si>
    <t>Class of Device Field</t>
    <phoneticPr fontId="1"/>
  </si>
  <si>
    <t>Class of Device EIR Data Type</t>
    <phoneticPr fontId="1"/>
  </si>
  <si>
    <t>Class of Device</t>
    <phoneticPr fontId="1"/>
  </si>
  <si>
    <t>Minor</t>
    <phoneticPr fontId="1"/>
  </si>
  <si>
    <t>Major</t>
    <phoneticPr fontId="1"/>
  </si>
  <si>
    <t>Service</t>
    <phoneticPr fontId="1"/>
  </si>
  <si>
    <t>Length</t>
    <phoneticPr fontId="1"/>
  </si>
  <si>
    <t>EIR Class</t>
    <phoneticPr fontId="1"/>
  </si>
  <si>
    <t xml:space="preserve">0x0D, </t>
    <phoneticPr fontId="1"/>
  </si>
  <si>
    <t>Audio</t>
  </si>
  <si>
    <t>Audio/Video</t>
  </si>
  <si>
    <t>Headset</t>
    <phoneticPr fontId="1"/>
  </si>
  <si>
    <t>UUID Field</t>
    <phoneticPr fontId="1"/>
  </si>
  <si>
    <t>UUID Field Length</t>
    <phoneticPr fontId="1"/>
  </si>
  <si>
    <t>Class of Device Field Length</t>
    <phoneticPr fontId="1"/>
  </si>
  <si>
    <t>Local Name Field Length</t>
    <phoneticPr fontId="1"/>
  </si>
  <si>
    <t>UUID Field EIR Data Type</t>
    <phoneticPr fontId="1"/>
  </si>
  <si>
    <t>UUID FIeld 1</t>
    <phoneticPr fontId="1"/>
  </si>
  <si>
    <t>UUID Field 2</t>
    <phoneticPr fontId="1"/>
  </si>
  <si>
    <t>UUID Field 3</t>
    <phoneticPr fontId="1"/>
  </si>
  <si>
    <t>SC UUID</t>
    <phoneticPr fontId="1"/>
  </si>
  <si>
    <t>UUID Field EIR Type</t>
    <phoneticPr fontId="1"/>
  </si>
  <si>
    <t>UUID1</t>
    <phoneticPr fontId="1"/>
  </si>
  <si>
    <t>UUID2</t>
    <phoneticPr fontId="1"/>
  </si>
  <si>
    <t>UUID3</t>
    <phoneticPr fontId="1"/>
  </si>
  <si>
    <t>Low</t>
    <phoneticPr fontId="1"/>
  </si>
  <si>
    <t>Hi</t>
    <phoneticPr fontId="1"/>
  </si>
  <si>
    <t>IF Num</t>
    <phoneticPr fontId="1"/>
  </si>
  <si>
    <t>1. Device Address</t>
    <phoneticPr fontId="1"/>
  </si>
  <si>
    <t>Add Local Name</t>
    <phoneticPr fontId="1"/>
  </si>
  <si>
    <t>2. Local Name</t>
    <phoneticPr fontId="1"/>
  </si>
  <si>
    <t>3. Class</t>
    <phoneticPr fontId="1"/>
  </si>
  <si>
    <t>4. UUID</t>
    <phoneticPr fontId="1"/>
  </si>
  <si>
    <t>5. Add Data</t>
    <phoneticPr fontId="1"/>
  </si>
  <si>
    <t>Add Ex EIR Data Field</t>
    <phoneticPr fontId="1"/>
  </si>
  <si>
    <t>EIR Data Length</t>
    <phoneticPr fontId="1"/>
  </si>
  <si>
    <t>EIR Data Type</t>
    <phoneticPr fontId="1"/>
  </si>
  <si>
    <t>EIR Data</t>
    <phoneticPr fontId="1"/>
  </si>
  <si>
    <t>Count Payload Length</t>
    <phoneticPr fontId="1"/>
  </si>
  <si>
    <t>Count OOB Length</t>
    <phoneticPr fontId="1"/>
  </si>
  <si>
    <t>Device Address</t>
    <phoneticPr fontId="1"/>
  </si>
  <si>
    <t>Local Name Field</t>
    <phoneticPr fontId="1"/>
  </si>
  <si>
    <t>Class Field</t>
    <phoneticPr fontId="1"/>
  </si>
  <si>
    <t>Ex Field</t>
    <phoneticPr fontId="1"/>
  </si>
  <si>
    <t>Data Type</t>
    <phoneticPr fontId="1"/>
  </si>
  <si>
    <t>HEX</t>
    <phoneticPr fontId="1"/>
  </si>
  <si>
    <t>IF ADD EX</t>
    <phoneticPr fontId="1"/>
  </si>
  <si>
    <t>Length</t>
    <phoneticPr fontId="1"/>
  </si>
  <si>
    <t>Data Type</t>
    <phoneticPr fontId="1"/>
  </si>
  <si>
    <t>Optional Data Text</t>
    <phoneticPr fontId="1"/>
  </si>
  <si>
    <t>Text</t>
  </si>
  <si>
    <t>Text</t>
    <phoneticPr fontId="1"/>
  </si>
  <si>
    <t>Text</t>
    <phoneticPr fontId="1"/>
  </si>
  <si>
    <t>Text/ASCII</t>
    <phoneticPr fontId="1"/>
  </si>
  <si>
    <t xml:space="preserve"> + Type 1</t>
    <phoneticPr fontId="1"/>
  </si>
  <si>
    <t>OOB Header</t>
    <phoneticPr fontId="1"/>
  </si>
  <si>
    <t>Total</t>
    <phoneticPr fontId="1"/>
  </si>
  <si>
    <t>Manufacturer Specific Data</t>
  </si>
  <si>
    <t>No</t>
  </si>
  <si>
    <t>OOB Data</t>
    <phoneticPr fontId="1"/>
  </si>
  <si>
    <t>Total</t>
    <phoneticPr fontId="1"/>
  </si>
  <si>
    <t>OOB</t>
    <phoneticPr fontId="1"/>
  </si>
  <si>
    <t>Payload</t>
    <phoneticPr fontId="1"/>
  </si>
  <si>
    <t>ID length</t>
    <phoneticPr fontId="1"/>
  </si>
  <si>
    <t>ID</t>
    <phoneticPr fontId="1"/>
  </si>
  <si>
    <t>This excel file creates the NDEF file for RF430CL300H.</t>
  </si>
  <si>
    <t>Please follow the instruction in this file as follows:</t>
  </si>
  <si>
    <t>please choose the application you would like to develop.</t>
  </si>
  <si>
    <t>Note:</t>
  </si>
  <si>
    <t>This file was created with Office 2010.</t>
  </si>
  <si>
    <t>With previous version of Office, the some functions in this file may not work with default setting.</t>
  </si>
  <si>
    <t>Please visit the link below if there is anything does not work properly.</t>
  </si>
  <si>
    <t>In addition,  please enable Macro-function as a part of this file requires Macro.</t>
  </si>
  <si>
    <t>1. Input SSID, security type, security key.</t>
  </si>
  <si>
    <t>Note: 32 characters can be input for SSID/Security key filed.</t>
  </si>
  <si>
    <t>Please adjust the length of the SSID/Security as required.</t>
  </si>
  <si>
    <t>If security type is set as "open", do not input "security key."</t>
  </si>
  <si>
    <t>Name the output file by utilizing the output form.</t>
  </si>
  <si>
    <t>If 'define' is utilized, please set Use Def file 'On.'</t>
  </si>
  <si>
    <t>'/' is added automatically.</t>
  </si>
  <si>
    <t>2. Create the output file.</t>
  </si>
  <si>
    <t>Out File Data detail.</t>
  </si>
  <si>
    <t>open</t>
  </si>
  <si>
    <t>NDEF data for Basic Tag Application would be created.</t>
  </si>
  <si>
    <t>Out File Data detail.</t>
    <phoneticPr fontId="1"/>
  </si>
  <si>
    <t>3. Create the output file.</t>
    <phoneticPr fontId="1"/>
  </si>
  <si>
    <t>Name the output file by utilizing the output form.</t>
    <phoneticPr fontId="1"/>
  </si>
  <si>
    <r>
      <rPr>
        <sz val="11"/>
        <color theme="0"/>
        <rFont val="ＭＳ Ｐゴシック"/>
        <family val="2"/>
        <charset val="128"/>
      </rPr>
      <t>文末</t>
    </r>
    <rPh sb="0" eb="2">
      <t>ブンマツ</t>
    </rPh>
    <phoneticPr fontId="1"/>
  </si>
  <si>
    <r>
      <rPr>
        <sz val="11"/>
        <rFont val="ＭＳ Ｐゴシック"/>
        <family val="2"/>
        <charset val="128"/>
      </rPr>
      <t>文末</t>
    </r>
    <rPh sb="0" eb="2">
      <t>ブンマツ</t>
    </rPh>
    <phoneticPr fontId="1"/>
  </si>
  <si>
    <t>1. Select your application from the list below.</t>
    <phoneticPr fontId="1"/>
  </si>
  <si>
    <t>Note: Up to 128 characters can be input test field.</t>
    <phoneticPr fontId="1"/>
  </si>
  <si>
    <t>Please adjust the length of your application required.</t>
    <phoneticPr fontId="1"/>
  </si>
  <si>
    <t>2. Input the rest of the URI, or the entire URI if identifier code is 0x00.</t>
    <phoneticPr fontId="1"/>
  </si>
  <si>
    <t>For example, if the content of this field is 0x01, and the content of the URI</t>
    <phoneticPr fontId="1"/>
  </si>
  <si>
    <t>http://www.</t>
    <phoneticPr fontId="1"/>
  </si>
  <si>
    <t>In this application, you can to store an URL, a telephone number, a mail address</t>
    <phoneticPr fontId="1"/>
  </si>
  <si>
    <t>or a proprietary URI on a tag.</t>
    <phoneticPr fontId="1"/>
  </si>
  <si>
    <t>NDEF data for Bluetooth connection Handover application would be created.</t>
    <phoneticPr fontId="1"/>
  </si>
  <si>
    <t>6. Create the output file.</t>
    <phoneticPr fontId="1"/>
  </si>
  <si>
    <t>5. Add extra option</t>
    <phoneticPr fontId="1"/>
  </si>
  <si>
    <t>This data will be made in accordance with Bluetooth Out-of-Band format.</t>
    <phoneticPr fontId="1"/>
  </si>
  <si>
    <t xml:space="preserve">Note: Please make sure to input Hex 0x00-0xFF in this form. </t>
    <phoneticPr fontId="1"/>
  </si>
  <si>
    <t>2. Input Bluetooth Local Name.</t>
    <phoneticPr fontId="1"/>
  </si>
  <si>
    <t>1. Input Device Address.</t>
    <phoneticPr fontId="1"/>
  </si>
  <si>
    <t>Note: Up to 32 characters can be input for Local Name field.</t>
    <phoneticPr fontId="1"/>
  </si>
  <si>
    <t>Please adjust the length of the Local Name as required.</t>
    <phoneticPr fontId="1"/>
  </si>
  <si>
    <t>3. Input Class of Device.</t>
    <phoneticPr fontId="1"/>
  </si>
  <si>
    <t>field reads as 'ti.com', the resulting URI is 'http://www.ti.com'.</t>
    <phoneticPr fontId="1"/>
  </si>
  <si>
    <t>2.2 If you select 'Yes' at 2.1, please input Local Name.</t>
    <phoneticPr fontId="1"/>
  </si>
  <si>
    <t>2.1 If you add Local Name, please set the right column 'Yes'.</t>
    <phoneticPr fontId="1"/>
  </si>
  <si>
    <t>3.1 If you select 'Yes' at 3.1, please set Service class, Major Device class</t>
    <phoneticPr fontId="1"/>
  </si>
  <si>
    <t>and Minor Device class.</t>
    <phoneticPr fontId="1"/>
  </si>
  <si>
    <t>Note: If minor device class has 2nd area, please set 2nd area.</t>
    <phoneticPr fontId="1"/>
  </si>
  <si>
    <t>If you change upper class, please re-select lower class.</t>
    <phoneticPr fontId="1"/>
  </si>
  <si>
    <t>4. Input Service Class UUID</t>
    <phoneticPr fontId="1"/>
  </si>
  <si>
    <t>4.1 If necessary, select number of UUID from 0/1/2/3.</t>
    <phoneticPr fontId="1"/>
  </si>
  <si>
    <t>4.3 If you select two or more in 4.2, please input UUID-2.</t>
    <phoneticPr fontId="1"/>
  </si>
  <si>
    <t>4.2 If you select one or more in 4.1, please input UUID-1.</t>
    <phoneticPr fontId="1"/>
  </si>
  <si>
    <t>4.4 If you select three in 4.2, please input UUID-3.</t>
    <phoneticPr fontId="1"/>
  </si>
  <si>
    <t>Note: Up to 32 characters can be input for text and hex field.</t>
    <phoneticPr fontId="1"/>
  </si>
  <si>
    <t>Please adjust the length of the data as required.</t>
    <phoneticPr fontId="1"/>
  </si>
  <si>
    <t xml:space="preserve">If you select 'hex' type, please make sure to input Hex 0x00-0xFF in this form. </t>
    <phoneticPr fontId="1"/>
  </si>
  <si>
    <t>5.1 If you add extra option, please set 'Add Ex EIR Data' is 'Yes'</t>
    <phoneticPr fontId="1"/>
  </si>
  <si>
    <t>Please make sure to remove unnecessary data.</t>
    <phoneticPr fontId="1"/>
  </si>
  <si>
    <t>Please input 'Data Text' or 'Data HEX' based on your select.</t>
    <phoneticPr fontId="1"/>
  </si>
  <si>
    <t xml:space="preserve">Please confirm, output file is closed. If it opened, </t>
    <phoneticPr fontId="1"/>
  </si>
  <si>
    <t>Note: If 'define' is utilized, please set Use Def file 'On.'</t>
    <phoneticPr fontId="1"/>
  </si>
  <si>
    <t>3.1 If you add Class of Device, please set the right column 'Yes'.</t>
    <phoneticPr fontId="1"/>
  </si>
  <si>
    <t>TXHome</t>
    <phoneticPr fontId="1"/>
  </si>
  <si>
    <t>ti.com</t>
    <phoneticPr fontId="1"/>
  </si>
  <si>
    <t>HeadSet Name</t>
    <phoneticPr fontId="1"/>
  </si>
  <si>
    <t>On</t>
  </si>
  <si>
    <t xml:space="preserve">0xF9, </t>
  </si>
  <si>
    <t xml:space="preserve">0xF6, </t>
  </si>
  <si>
    <t>0xF9,</t>
  </si>
  <si>
    <t xml:space="preserve">   First,</t>
  </si>
  <si>
    <t>*This data format works with WiFi tap application</t>
  </si>
  <si>
    <t xml:space="preserve">https://play.google.com/store/apps/details?id=com.wifitap.android </t>
  </si>
  <si>
    <t xml:space="preserve">http://members.nfc-forum.org/apps/group_public/download.php/17421/NFCForum_AD_BTSSP_1_0_1.pdf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</si>
</sst>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name val="Calibri"/>
      <family val="2"/>
      <charset val="128"/>
      <scheme val="minor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Arial"/>
      <family val="2"/>
    </font>
    <font>
      <sz val="14"/>
      <name val="Calibri"/>
      <family val="2"/>
      <charset val="128"/>
      <scheme val="minor"/>
    </font>
    <font>
      <sz val="14"/>
      <color theme="0"/>
      <name val="Calibri"/>
      <family val="2"/>
      <charset val="128"/>
      <scheme val="minor"/>
    </font>
    <font>
      <sz val="11"/>
      <color theme="1"/>
      <name val="Arial"/>
      <family val="2"/>
    </font>
    <font>
      <sz val="18"/>
      <color theme="1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sz val="11"/>
      <color theme="0"/>
      <name val="ＭＳ Ｐゴシック"/>
      <family val="2"/>
      <charset val="128"/>
    </font>
    <font>
      <sz val="14"/>
      <name val="Arial"/>
      <family val="2"/>
    </font>
    <font>
      <sz val="14"/>
      <color theme="0"/>
      <name val="Arial"/>
      <family val="2"/>
    </font>
    <font>
      <sz val="11"/>
      <name val="ＭＳ Ｐゴシック"/>
      <family val="2"/>
      <charset val="128"/>
    </font>
    <font>
      <u/>
      <sz val="11"/>
      <color theme="10"/>
      <name val="Arial"/>
      <family val="2"/>
    </font>
    <font>
      <sz val="16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6"/>
      <name val="Arial"/>
      <family val="2"/>
    </font>
    <font>
      <b/>
      <sz val="14"/>
      <color theme="1"/>
      <name val="Arial"/>
      <family val="2"/>
    </font>
    <font>
      <u/>
      <sz val="12"/>
      <color theme="10"/>
      <name val="Arial"/>
      <family val="2"/>
    </font>
    <font>
      <sz val="12"/>
      <color theme="1"/>
      <name val="Calibri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thin">
        <color rgb="FFFF0000"/>
      </top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50">
    <xf numFmtId="0" fontId="0" fillId="0" borderId="0" xfId="0">
      <alignment vertical="center"/>
    </xf>
    <xf numFmtId="0" fontId="0" fillId="3" borderId="0" xfId="0" applyFill="1" applyBorder="1">
      <alignment vertical="center"/>
    </xf>
    <xf numFmtId="0" fontId="0" fillId="0" borderId="0" xfId="0" applyFont="1" applyProtection="1">
      <alignment vertical="center"/>
    </xf>
    <xf numFmtId="0" fontId="0" fillId="0" borderId="28" xfId="0" applyFont="1" applyBorder="1" applyProtection="1">
      <alignment vertical="center"/>
    </xf>
    <xf numFmtId="0" fontId="0" fillId="0" borderId="0" xfId="0" applyFont="1" applyBorder="1" applyProtection="1">
      <alignment vertical="center"/>
    </xf>
    <xf numFmtId="0" fontId="0" fillId="0" borderId="29" xfId="0" applyFont="1" applyBorder="1" applyProtection="1">
      <alignment vertical="center"/>
    </xf>
    <xf numFmtId="0" fontId="3" fillId="0" borderId="0" xfId="0" applyFont="1" applyBorder="1" applyProtection="1">
      <alignment vertical="center"/>
    </xf>
    <xf numFmtId="0" fontId="3" fillId="0" borderId="0" xfId="0" applyFont="1" applyProtection="1">
      <alignment vertical="center"/>
    </xf>
    <xf numFmtId="0" fontId="0" fillId="0" borderId="0" xfId="0" applyBorder="1" applyProtection="1">
      <alignment vertical="center"/>
    </xf>
    <xf numFmtId="0" fontId="0" fillId="0" borderId="0" xfId="0" applyProtection="1">
      <alignment vertical="center"/>
    </xf>
    <xf numFmtId="0" fontId="0" fillId="0" borderId="30" xfId="0" applyBorder="1" applyProtection="1">
      <alignment vertical="center"/>
    </xf>
    <xf numFmtId="0" fontId="0" fillId="0" borderId="31" xfId="0" applyBorder="1" applyProtection="1">
      <alignment vertical="center"/>
    </xf>
    <xf numFmtId="0" fontId="0" fillId="0" borderId="32" xfId="0" applyBorder="1" applyProtection="1">
      <alignment vertical="center"/>
    </xf>
    <xf numFmtId="0" fontId="5" fillId="0" borderId="0" xfId="0" applyFont="1" applyBorder="1" applyProtection="1">
      <alignment vertical="center"/>
    </xf>
    <xf numFmtId="0" fontId="5" fillId="0" borderId="0" xfId="0" applyFont="1" applyProtection="1">
      <alignment vertical="center"/>
    </xf>
    <xf numFmtId="0" fontId="4" fillId="0" borderId="0" xfId="0" applyFont="1" applyBorder="1" applyProtection="1">
      <alignment vertical="center"/>
    </xf>
    <xf numFmtId="0" fontId="4" fillId="0" borderId="29" xfId="0" applyFont="1" applyBorder="1" applyProtection="1">
      <alignment vertical="center"/>
    </xf>
    <xf numFmtId="0" fontId="8" fillId="0" borderId="0" xfId="0" applyFont="1" applyBorder="1">
      <alignment vertical="center"/>
    </xf>
    <xf numFmtId="0" fontId="6" fillId="0" borderId="28" xfId="0" applyFont="1" applyBorder="1" applyProtection="1">
      <alignment vertical="center"/>
    </xf>
    <xf numFmtId="0" fontId="4" fillId="0" borderId="0" xfId="0" applyFont="1" applyProtection="1">
      <alignment vertical="center"/>
    </xf>
    <xf numFmtId="0" fontId="9" fillId="0" borderId="0" xfId="0" applyFont="1" applyProtection="1">
      <alignment vertical="center"/>
    </xf>
    <xf numFmtId="0" fontId="4" fillId="0" borderId="25" xfId="0" applyFont="1" applyBorder="1" applyProtection="1">
      <alignment vertical="center"/>
    </xf>
    <xf numFmtId="0" fontId="4" fillId="0" borderId="26" xfId="0" applyFont="1" applyBorder="1" applyProtection="1">
      <alignment vertical="center"/>
    </xf>
    <xf numFmtId="0" fontId="4" fillId="0" borderId="27" xfId="0" applyFont="1" applyBorder="1" applyProtection="1">
      <alignment vertical="center"/>
    </xf>
    <xf numFmtId="0" fontId="9" fillId="0" borderId="0" xfId="0" applyFont="1" applyBorder="1" applyProtection="1">
      <alignment vertical="center"/>
    </xf>
    <xf numFmtId="0" fontId="10" fillId="0" borderId="0" xfId="0" applyFont="1" applyBorder="1" applyProtection="1">
      <alignment vertical="center"/>
    </xf>
    <xf numFmtId="0" fontId="6" fillId="3" borderId="25" xfId="0" applyFont="1" applyFill="1" applyBorder="1" applyProtection="1">
      <alignment vertical="center"/>
    </xf>
    <xf numFmtId="0" fontId="6" fillId="3" borderId="26" xfId="0" applyFont="1" applyFill="1" applyBorder="1" applyProtection="1">
      <alignment vertical="center"/>
    </xf>
    <xf numFmtId="0" fontId="11" fillId="0" borderId="0" xfId="0" applyFont="1">
      <alignment vertical="center"/>
    </xf>
    <xf numFmtId="0" fontId="11" fillId="0" borderId="25" xfId="0" applyFont="1" applyBorder="1">
      <alignment vertical="center"/>
    </xf>
    <xf numFmtId="0" fontId="11" fillId="0" borderId="26" xfId="0" applyFont="1" applyBorder="1">
      <alignment vertical="center"/>
    </xf>
    <xf numFmtId="0" fontId="11" fillId="0" borderId="27" xfId="0" applyFont="1" applyBorder="1">
      <alignment vertical="center"/>
    </xf>
    <xf numFmtId="0" fontId="11" fillId="0" borderId="28" xfId="0" applyFont="1" applyBorder="1">
      <alignment vertical="center"/>
    </xf>
    <xf numFmtId="0" fontId="6" fillId="0" borderId="0" xfId="0" applyFont="1" applyBorder="1">
      <alignment vertical="center"/>
    </xf>
    <xf numFmtId="0" fontId="11" fillId="0" borderId="0" xfId="0" applyFont="1" applyBorder="1">
      <alignment vertical="center"/>
    </xf>
    <xf numFmtId="0" fontId="11" fillId="0" borderId="29" xfId="0" applyFont="1" applyBorder="1">
      <alignment vertical="center"/>
    </xf>
    <xf numFmtId="0" fontId="11" fillId="0" borderId="30" xfId="0" applyFont="1" applyBorder="1">
      <alignment vertical="center"/>
    </xf>
    <xf numFmtId="0" fontId="12" fillId="0" borderId="31" xfId="0" applyFont="1" applyBorder="1">
      <alignment vertical="center"/>
    </xf>
    <xf numFmtId="0" fontId="11" fillId="0" borderId="31" xfId="0" applyFont="1" applyBorder="1">
      <alignment vertical="center"/>
    </xf>
    <xf numFmtId="0" fontId="11" fillId="0" borderId="32" xfId="0" applyFont="1" applyBorder="1">
      <alignment vertical="center"/>
    </xf>
    <xf numFmtId="0" fontId="7" fillId="0" borderId="0" xfId="0" applyFont="1" applyBorder="1">
      <alignment vertical="center"/>
    </xf>
    <xf numFmtId="0" fontId="7" fillId="0" borderId="0" xfId="0" applyFont="1">
      <alignment vertical="center"/>
    </xf>
    <xf numFmtId="0" fontId="11" fillId="0" borderId="0" xfId="0" applyFont="1" applyProtection="1">
      <alignment vertical="center"/>
    </xf>
    <xf numFmtId="0" fontId="6" fillId="3" borderId="0" xfId="0" applyFont="1" applyFill="1" applyBorder="1" applyProtection="1">
      <alignment vertical="center"/>
    </xf>
    <xf numFmtId="0" fontId="6" fillId="3" borderId="28" xfId="0" applyFont="1" applyFill="1" applyBorder="1" applyProtection="1">
      <alignment vertical="center"/>
    </xf>
    <xf numFmtId="0" fontId="6" fillId="3" borderId="0" xfId="0" applyFont="1" applyFill="1" applyProtection="1">
      <alignment vertical="center"/>
    </xf>
    <xf numFmtId="0" fontId="6" fillId="3" borderId="29" xfId="0" applyFont="1" applyFill="1" applyBorder="1" applyProtection="1">
      <alignment vertical="center"/>
    </xf>
    <xf numFmtId="0" fontId="6" fillId="0" borderId="0" xfId="0" applyFont="1" applyProtection="1">
      <alignment vertical="center"/>
    </xf>
    <xf numFmtId="0" fontId="11" fillId="0" borderId="28" xfId="0" applyFont="1" applyBorder="1" applyProtection="1">
      <alignment vertical="center"/>
    </xf>
    <xf numFmtId="0" fontId="11" fillId="0" borderId="0" xfId="0" applyFont="1" applyBorder="1" applyProtection="1">
      <alignment vertical="center"/>
    </xf>
    <xf numFmtId="0" fontId="11" fillId="0" borderId="29" xfId="0" applyFont="1" applyBorder="1" applyProtection="1">
      <alignment vertical="center"/>
    </xf>
    <xf numFmtId="0" fontId="13" fillId="0" borderId="0" xfId="0" applyFont="1" applyBorder="1" applyProtection="1">
      <alignment vertical="center"/>
    </xf>
    <xf numFmtId="0" fontId="14" fillId="0" borderId="0" xfId="0" applyFont="1" applyBorder="1" applyProtection="1">
      <alignment vertical="center"/>
    </xf>
    <xf numFmtId="0" fontId="13" fillId="0" borderId="0" xfId="0" applyFont="1" applyProtection="1">
      <alignment vertical="center"/>
    </xf>
    <xf numFmtId="0" fontId="11" fillId="0" borderId="25" xfId="0" applyFont="1" applyBorder="1" applyProtection="1">
      <alignment vertical="center"/>
    </xf>
    <xf numFmtId="0" fontId="11" fillId="0" borderId="26" xfId="0" applyFont="1" applyBorder="1" applyProtection="1">
      <alignment vertical="center"/>
    </xf>
    <xf numFmtId="0" fontId="11" fillId="0" borderId="27" xfId="0" applyFont="1" applyBorder="1" applyProtection="1">
      <alignment vertical="center"/>
    </xf>
    <xf numFmtId="0" fontId="11" fillId="0" borderId="30" xfId="0" applyFont="1" applyBorder="1" applyProtection="1">
      <alignment vertical="center"/>
    </xf>
    <xf numFmtId="0" fontId="11" fillId="4" borderId="13" xfId="0" applyFont="1" applyFill="1" applyBorder="1" applyProtection="1">
      <alignment vertical="center"/>
    </xf>
    <xf numFmtId="0" fontId="11" fillId="4" borderId="14" xfId="0" applyFont="1" applyFill="1" applyBorder="1" applyProtection="1">
      <alignment vertical="center"/>
    </xf>
    <xf numFmtId="0" fontId="11" fillId="4" borderId="15" xfId="0" applyFont="1" applyFill="1" applyBorder="1" applyProtection="1">
      <alignment vertical="center"/>
    </xf>
    <xf numFmtId="0" fontId="11" fillId="0" borderId="32" xfId="0" applyFont="1" applyBorder="1" applyProtection="1">
      <alignment vertical="center"/>
    </xf>
    <xf numFmtId="0" fontId="11" fillId="0" borderId="31" xfId="0" applyFont="1" applyBorder="1" applyProtection="1">
      <alignment vertical="center"/>
    </xf>
    <xf numFmtId="0" fontId="11" fillId="4" borderId="16" xfId="0" applyFont="1" applyFill="1" applyBorder="1" applyProtection="1">
      <alignment vertical="center"/>
    </xf>
    <xf numFmtId="0" fontId="11" fillId="4" borderId="19" xfId="0" applyFont="1" applyFill="1" applyBorder="1" applyProtection="1">
      <alignment vertical="center"/>
    </xf>
    <xf numFmtId="0" fontId="11" fillId="4" borderId="20" xfId="0" applyFont="1" applyFill="1" applyBorder="1" applyProtection="1">
      <alignment vertical="center"/>
    </xf>
    <xf numFmtId="0" fontId="11" fillId="4" borderId="2" xfId="0" applyFont="1" applyFill="1" applyBorder="1" applyProtection="1">
      <alignment vertical="center"/>
    </xf>
    <xf numFmtId="0" fontId="11" fillId="0" borderId="34" xfId="0" applyFont="1" applyBorder="1" applyProtection="1">
      <alignment vertical="center"/>
    </xf>
    <xf numFmtId="0" fontId="11" fillId="4" borderId="22" xfId="0" applyFont="1" applyFill="1" applyBorder="1" applyProtection="1">
      <alignment vertical="center"/>
    </xf>
    <xf numFmtId="0" fontId="11" fillId="4" borderId="7" xfId="0" applyFont="1" applyFill="1" applyBorder="1" applyProtection="1">
      <alignment vertical="center"/>
    </xf>
    <xf numFmtId="0" fontId="11" fillId="4" borderId="3" xfId="0" applyFont="1" applyFill="1" applyBorder="1" applyProtection="1">
      <alignment vertical="center"/>
    </xf>
    <xf numFmtId="0" fontId="11" fillId="4" borderId="33" xfId="0" applyFont="1" applyFill="1" applyBorder="1" applyProtection="1">
      <alignment vertical="center"/>
    </xf>
    <xf numFmtId="0" fontId="11" fillId="4" borderId="17" xfId="0" applyFont="1" applyFill="1" applyBorder="1" applyProtection="1">
      <alignment vertical="center"/>
    </xf>
    <xf numFmtId="0" fontId="11" fillId="0" borderId="35" xfId="0" applyFont="1" applyBorder="1" applyProtection="1">
      <alignment vertical="center"/>
    </xf>
    <xf numFmtId="0" fontId="11" fillId="4" borderId="18" xfId="0" applyFont="1" applyFill="1" applyBorder="1" applyProtection="1">
      <alignment vertical="center"/>
    </xf>
    <xf numFmtId="0" fontId="11" fillId="2" borderId="21" xfId="0" applyFont="1" applyFill="1" applyBorder="1" applyAlignment="1" applyProtection="1">
      <alignment horizontal="center" vertical="center"/>
    </xf>
    <xf numFmtId="0" fontId="11" fillId="2" borderId="1" xfId="0" applyFont="1" applyFill="1" applyBorder="1" applyAlignment="1" applyProtection="1">
      <alignment horizontal="center" vertical="center"/>
    </xf>
    <xf numFmtId="0" fontId="11" fillId="2" borderId="9" xfId="0" applyFont="1" applyFill="1" applyBorder="1" applyAlignment="1" applyProtection="1">
      <alignment horizontal="center" vertical="center"/>
    </xf>
    <xf numFmtId="0" fontId="11" fillId="4" borderId="5" xfId="0" applyFont="1" applyFill="1" applyBorder="1" applyProtection="1">
      <alignment vertical="center"/>
    </xf>
    <xf numFmtId="0" fontId="11" fillId="4" borderId="6" xfId="0" applyFont="1" applyFill="1" applyBorder="1" applyProtection="1">
      <alignment vertical="center"/>
    </xf>
    <xf numFmtId="0" fontId="11" fillId="4" borderId="8" xfId="0" applyFont="1" applyFill="1" applyBorder="1" applyProtection="1">
      <alignment vertical="center"/>
    </xf>
    <xf numFmtId="0" fontId="11" fillId="4" borderId="1" xfId="0" applyFont="1" applyFill="1" applyBorder="1" applyProtection="1">
      <alignment vertical="center"/>
    </xf>
    <xf numFmtId="0" fontId="11" fillId="4" borderId="9" xfId="0" applyFont="1" applyFill="1" applyBorder="1" applyProtection="1">
      <alignment vertical="center"/>
    </xf>
    <xf numFmtId="0" fontId="11" fillId="4" borderId="10" xfId="0" applyFont="1" applyFill="1" applyBorder="1" applyProtection="1">
      <alignment vertical="center"/>
    </xf>
    <xf numFmtId="0" fontId="11" fillId="4" borderId="11" xfId="0" applyFont="1" applyFill="1" applyBorder="1" applyProtection="1">
      <alignment vertical="center"/>
    </xf>
    <xf numFmtId="0" fontId="11" fillId="4" borderId="12" xfId="0" applyFont="1" applyFill="1" applyBorder="1" applyProtection="1">
      <alignment vertical="center"/>
    </xf>
    <xf numFmtId="0" fontId="14" fillId="0" borderId="0" xfId="0" applyFont="1" applyProtection="1">
      <alignment vertical="center"/>
    </xf>
    <xf numFmtId="0" fontId="14" fillId="0" borderId="0" xfId="0" applyFont="1" applyBorder="1" applyAlignment="1" applyProtection="1">
      <alignment vertical="center"/>
    </xf>
    <xf numFmtId="0" fontId="14" fillId="3" borderId="0" xfId="0" applyFont="1" applyFill="1" applyBorder="1" applyProtection="1">
      <alignment vertical="center"/>
    </xf>
    <xf numFmtId="0" fontId="6" fillId="3" borderId="27" xfId="0" applyFont="1" applyFill="1" applyBorder="1" applyProtection="1">
      <alignment vertical="center"/>
    </xf>
    <xf numFmtId="0" fontId="6" fillId="3" borderId="0" xfId="0" applyFont="1" applyFill="1" applyBorder="1" applyAlignment="1" applyProtection="1">
      <alignment vertical="center"/>
    </xf>
    <xf numFmtId="0" fontId="6" fillId="3" borderId="2" xfId="0" applyFont="1" applyFill="1" applyBorder="1" applyProtection="1">
      <alignment vertical="center"/>
      <protection locked="0"/>
    </xf>
    <xf numFmtId="0" fontId="6" fillId="3" borderId="30" xfId="0" applyFont="1" applyFill="1" applyBorder="1" applyProtection="1">
      <alignment vertical="center"/>
    </xf>
    <xf numFmtId="0" fontId="6" fillId="3" borderId="31" xfId="0" applyFont="1" applyFill="1" applyBorder="1" applyProtection="1">
      <alignment vertical="center"/>
    </xf>
    <xf numFmtId="0" fontId="6" fillId="3" borderId="32" xfId="0" applyFont="1" applyFill="1" applyBorder="1" applyProtection="1">
      <alignment vertical="center"/>
    </xf>
    <xf numFmtId="0" fontId="16" fillId="0" borderId="0" xfId="0" applyFont="1" applyProtection="1">
      <alignment vertical="center"/>
    </xf>
    <xf numFmtId="0" fontId="6" fillId="0" borderId="25" xfId="0" applyFont="1" applyBorder="1" applyProtection="1">
      <alignment vertical="center"/>
    </xf>
    <xf numFmtId="0" fontId="6" fillId="0" borderId="26" xfId="0" applyFont="1" applyBorder="1" applyProtection="1">
      <alignment vertical="center"/>
    </xf>
    <xf numFmtId="0" fontId="6" fillId="0" borderId="27" xfId="0" applyFont="1" applyBorder="1" applyProtection="1">
      <alignment vertical="center"/>
    </xf>
    <xf numFmtId="0" fontId="16" fillId="0" borderId="0" xfId="0" applyFont="1" applyBorder="1" applyProtection="1">
      <alignment vertical="center"/>
    </xf>
    <xf numFmtId="0" fontId="17" fillId="0" borderId="0" xfId="0" applyFont="1" applyBorder="1" applyProtection="1">
      <alignment vertical="center"/>
    </xf>
    <xf numFmtId="0" fontId="6" fillId="0" borderId="0" xfId="0" applyFont="1" applyBorder="1" applyProtection="1">
      <alignment vertical="center"/>
    </xf>
    <xf numFmtId="0" fontId="6" fillId="0" borderId="29" xfId="0" applyFont="1" applyBorder="1" applyProtection="1">
      <alignment vertical="center"/>
    </xf>
    <xf numFmtId="0" fontId="17" fillId="0" borderId="0" xfId="0" applyFont="1" applyProtection="1">
      <alignment vertical="center"/>
    </xf>
    <xf numFmtId="0" fontId="13" fillId="0" borderId="1" xfId="0" applyFont="1" applyBorder="1" applyProtection="1">
      <alignment vertical="center"/>
    </xf>
    <xf numFmtId="0" fontId="13" fillId="0" borderId="0" xfId="0" applyFont="1" applyFill="1" applyBorder="1" applyProtection="1">
      <alignment vertical="center"/>
    </xf>
    <xf numFmtId="0" fontId="13" fillId="0" borderId="1" xfId="0" applyFont="1" applyFill="1" applyBorder="1" applyProtection="1">
      <alignment vertical="center"/>
    </xf>
    <xf numFmtId="0" fontId="6" fillId="0" borderId="25" xfId="0" applyFont="1" applyFill="1" applyBorder="1" applyProtection="1">
      <alignment vertical="center"/>
    </xf>
    <xf numFmtId="0" fontId="6" fillId="0" borderId="26" xfId="0" applyFont="1" applyFill="1" applyBorder="1" applyProtection="1">
      <alignment vertical="center"/>
    </xf>
    <xf numFmtId="0" fontId="6" fillId="0" borderId="27" xfId="0" applyFont="1" applyFill="1" applyBorder="1" applyProtection="1">
      <alignment vertical="center"/>
    </xf>
    <xf numFmtId="0" fontId="6" fillId="0" borderId="28" xfId="0" applyFont="1" applyFill="1" applyBorder="1" applyProtection="1">
      <alignment vertical="center"/>
    </xf>
    <xf numFmtId="0" fontId="6" fillId="0" borderId="0" xfId="0" applyFont="1" applyFill="1" applyBorder="1" applyProtection="1">
      <alignment vertical="center"/>
    </xf>
    <xf numFmtId="0" fontId="6" fillId="0" borderId="29" xfId="0" applyFont="1" applyFill="1" applyBorder="1" applyProtection="1">
      <alignment vertical="center"/>
    </xf>
    <xf numFmtId="0" fontId="6" fillId="0" borderId="0" xfId="0" applyFont="1" applyAlignment="1" applyProtection="1">
      <alignment horizontal="left" vertical="top"/>
    </xf>
    <xf numFmtId="0" fontId="6" fillId="0" borderId="41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6" fillId="0" borderId="2" xfId="0" applyFont="1" applyFill="1" applyBorder="1" applyProtection="1">
      <alignment vertical="center"/>
      <protection locked="0"/>
    </xf>
    <xf numFmtId="0" fontId="6" fillId="0" borderId="0" xfId="0" applyFont="1" applyFill="1" applyProtection="1">
      <alignment vertical="center"/>
    </xf>
    <xf numFmtId="0" fontId="6" fillId="0" borderId="30" xfId="0" applyFont="1" applyFill="1" applyBorder="1" applyProtection="1">
      <alignment vertical="center"/>
    </xf>
    <xf numFmtId="0" fontId="6" fillId="0" borderId="31" xfId="0" applyFont="1" applyFill="1" applyBorder="1" applyProtection="1">
      <alignment vertical="center"/>
    </xf>
    <xf numFmtId="0" fontId="6" fillId="0" borderId="32" xfId="0" applyFont="1" applyFill="1" applyBorder="1" applyProtection="1">
      <alignment vertical="center"/>
    </xf>
    <xf numFmtId="0" fontId="6" fillId="3" borderId="36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Protection="1">
      <alignment vertical="center"/>
    </xf>
    <xf numFmtId="0" fontId="7" fillId="3" borderId="0" xfId="0" applyFont="1" applyFill="1" applyBorder="1" applyProtection="1">
      <alignment vertical="center"/>
    </xf>
    <xf numFmtId="0" fontId="7" fillId="3" borderId="0" xfId="0" applyFont="1" applyFill="1" applyProtection="1">
      <alignment vertical="center"/>
    </xf>
    <xf numFmtId="0" fontId="7" fillId="3" borderId="0" xfId="0" quotePrefix="1" applyFont="1" applyFill="1" applyBorder="1" applyProtection="1">
      <alignment vertical="center"/>
    </xf>
    <xf numFmtId="0" fontId="19" fillId="0" borderId="0" xfId="1" applyFont="1" applyAlignment="1" applyProtection="1">
      <alignment vertical="center"/>
    </xf>
    <xf numFmtId="0" fontId="21" fillId="0" borderId="0" xfId="0" applyFont="1" applyBorder="1" applyProtection="1">
      <alignment vertical="center"/>
    </xf>
    <xf numFmtId="0" fontId="22" fillId="0" borderId="0" xfId="0" applyFont="1" applyBorder="1" applyProtection="1">
      <alignment vertical="center"/>
    </xf>
    <xf numFmtId="0" fontId="23" fillId="5" borderId="5" xfId="0" applyFont="1" applyFill="1" applyBorder="1" applyProtection="1">
      <alignment vertical="center"/>
    </xf>
    <xf numFmtId="0" fontId="23" fillId="5" borderId="7" xfId="0" applyFont="1" applyFill="1" applyBorder="1" applyProtection="1">
      <alignment vertical="center"/>
    </xf>
    <xf numFmtId="0" fontId="23" fillId="0" borderId="8" xfId="0" applyFont="1" applyBorder="1" applyAlignment="1" applyProtection="1">
      <alignment vertical="center" wrapText="1"/>
    </xf>
    <xf numFmtId="0" fontId="23" fillId="0" borderId="9" xfId="0" applyFont="1" applyBorder="1" applyProtection="1">
      <alignment vertical="center"/>
    </xf>
    <xf numFmtId="0" fontId="24" fillId="0" borderId="8" xfId="1" applyFont="1" applyBorder="1" applyAlignment="1" applyProtection="1">
      <alignment vertical="center" wrapText="1"/>
    </xf>
    <xf numFmtId="0" fontId="23" fillId="0" borderId="0" xfId="0" applyFont="1" applyProtection="1">
      <alignment vertical="center"/>
    </xf>
    <xf numFmtId="0" fontId="23" fillId="0" borderId="10" xfId="0" applyFont="1" applyBorder="1" applyAlignment="1" applyProtection="1">
      <alignment vertical="center" wrapText="1"/>
    </xf>
    <xf numFmtId="0" fontId="23" fillId="0" borderId="12" xfId="0" applyFont="1" applyBorder="1" applyProtection="1">
      <alignment vertical="center"/>
    </xf>
    <xf numFmtId="0" fontId="11" fillId="0" borderId="0" xfId="0" applyFont="1" applyFill="1" applyBorder="1" applyProtection="1">
      <alignment vertical="center"/>
    </xf>
    <xf numFmtId="0" fontId="11" fillId="4" borderId="47" xfId="0" applyFont="1" applyFill="1" applyBorder="1" applyProtection="1">
      <alignment vertical="center"/>
    </xf>
    <xf numFmtId="0" fontId="11" fillId="0" borderId="0" xfId="0" applyFont="1" applyBorder="1" applyAlignment="1" applyProtection="1">
      <alignment horizontal="right" vertical="center"/>
    </xf>
    <xf numFmtId="0" fontId="25" fillId="0" borderId="0" xfId="0" applyFont="1" applyBorder="1" applyProtection="1">
      <alignment vertical="center"/>
    </xf>
    <xf numFmtId="0" fontId="13" fillId="0" borderId="0" xfId="0" applyFont="1" applyBorder="1" applyAlignment="1" applyProtection="1">
      <alignment vertical="center"/>
    </xf>
    <xf numFmtId="0" fontId="13" fillId="0" borderId="1" xfId="0" applyFont="1" applyBorder="1" applyAlignment="1" applyProtection="1">
      <alignment vertical="center"/>
    </xf>
    <xf numFmtId="0" fontId="13" fillId="0" borderId="44" xfId="0" applyFont="1" applyBorder="1" applyProtection="1">
      <alignment vertical="center"/>
    </xf>
    <xf numFmtId="0" fontId="13" fillId="0" borderId="45" xfId="0" applyFont="1" applyBorder="1" applyProtection="1">
      <alignment vertical="center"/>
    </xf>
    <xf numFmtId="0" fontId="13" fillId="0" borderId="2" xfId="0" applyFont="1" applyBorder="1" applyProtection="1">
      <alignment vertical="center"/>
    </xf>
    <xf numFmtId="0" fontId="13" fillId="0" borderId="5" xfId="0" applyFont="1" applyBorder="1" applyProtection="1">
      <alignment vertical="center"/>
    </xf>
    <xf numFmtId="0" fontId="13" fillId="0" borderId="6" xfId="0" applyFont="1" applyBorder="1" applyProtection="1">
      <alignment vertical="center"/>
    </xf>
    <xf numFmtId="0" fontId="13" fillId="0" borderId="7" xfId="0" applyFont="1" applyBorder="1" applyProtection="1">
      <alignment vertical="center"/>
    </xf>
    <xf numFmtId="0" fontId="13" fillId="0" borderId="25" xfId="0" applyFont="1" applyFill="1" applyBorder="1" applyProtection="1">
      <alignment vertical="center"/>
    </xf>
    <xf numFmtId="0" fontId="13" fillId="0" borderId="26" xfId="0" applyFont="1" applyFill="1" applyBorder="1" applyProtection="1">
      <alignment vertical="center"/>
    </xf>
    <xf numFmtId="0" fontId="13" fillId="0" borderId="27" xfId="0" applyFont="1" applyFill="1" applyBorder="1" applyProtection="1">
      <alignment vertical="center"/>
    </xf>
    <xf numFmtId="0" fontId="11" fillId="0" borderId="1" xfId="0" applyFont="1" applyBorder="1" applyProtection="1">
      <alignment vertical="center"/>
    </xf>
    <xf numFmtId="0" fontId="13" fillId="0" borderId="8" xfId="0" applyFont="1" applyBorder="1" applyProtection="1">
      <alignment vertical="center"/>
    </xf>
    <xf numFmtId="0" fontId="13" fillId="0" borderId="9" xfId="0" applyFont="1" applyBorder="1" applyProtection="1">
      <alignment vertical="center"/>
    </xf>
    <xf numFmtId="0" fontId="13" fillId="0" borderId="28" xfId="0" applyFont="1" applyFill="1" applyBorder="1" applyProtection="1">
      <alignment vertical="center"/>
    </xf>
    <xf numFmtId="0" fontId="13" fillId="0" borderId="29" xfId="0" applyFont="1" applyFill="1" applyBorder="1" applyProtection="1">
      <alignment vertical="center"/>
    </xf>
    <xf numFmtId="0" fontId="13" fillId="0" borderId="10" xfId="0" applyFont="1" applyBorder="1" applyProtection="1">
      <alignment vertical="center"/>
    </xf>
    <xf numFmtId="0" fontId="13" fillId="0" borderId="11" xfId="0" applyFont="1" applyBorder="1" applyProtection="1">
      <alignment vertical="center"/>
    </xf>
    <xf numFmtId="0" fontId="13" fillId="0" borderId="12" xfId="0" applyFont="1" applyBorder="1" applyProtection="1">
      <alignment vertical="center"/>
    </xf>
    <xf numFmtId="0" fontId="13" fillId="0" borderId="30" xfId="0" applyFont="1" applyFill="1" applyBorder="1" applyProtection="1">
      <alignment vertical="center"/>
    </xf>
    <xf numFmtId="0" fontId="13" fillId="0" borderId="31" xfId="0" applyFont="1" applyFill="1" applyBorder="1" applyProtection="1">
      <alignment vertical="center"/>
    </xf>
    <xf numFmtId="0" fontId="13" fillId="0" borderId="32" xfId="0" applyFont="1" applyFill="1" applyBorder="1" applyProtection="1">
      <alignment vertical="center"/>
    </xf>
    <xf numFmtId="0" fontId="13" fillId="0" borderId="43" xfId="0" applyFont="1" applyBorder="1" applyProtection="1">
      <alignment vertical="center"/>
    </xf>
    <xf numFmtId="0" fontId="13" fillId="0" borderId="0" xfId="0" quotePrefix="1" applyFont="1" applyBorder="1" applyProtection="1">
      <alignment vertical="center"/>
    </xf>
    <xf numFmtId="0" fontId="13" fillId="0" borderId="13" xfId="0" applyFont="1" applyBorder="1" applyProtection="1">
      <alignment vertical="center"/>
    </xf>
    <xf numFmtId="0" fontId="13" fillId="0" borderId="14" xfId="0" applyFont="1" applyBorder="1" applyProtection="1">
      <alignment vertical="center"/>
    </xf>
    <xf numFmtId="0" fontId="13" fillId="0" borderId="15" xfId="0" applyFont="1" applyBorder="1" applyProtection="1">
      <alignment vertical="center"/>
    </xf>
    <xf numFmtId="0" fontId="13" fillId="0" borderId="45" xfId="0" applyFont="1" applyFill="1" applyBorder="1" applyProtection="1">
      <alignment vertical="center"/>
    </xf>
    <xf numFmtId="0" fontId="13" fillId="0" borderId="25" xfId="0" applyFont="1" applyBorder="1" applyProtection="1">
      <alignment vertical="center"/>
    </xf>
    <xf numFmtId="0" fontId="13" fillId="0" borderId="26" xfId="0" applyFont="1" applyBorder="1" applyProtection="1">
      <alignment vertical="center"/>
    </xf>
    <xf numFmtId="0" fontId="13" fillId="0" borderId="27" xfId="0" applyFont="1" applyBorder="1" applyProtection="1">
      <alignment vertical="center"/>
    </xf>
    <xf numFmtId="0" fontId="13" fillId="0" borderId="28" xfId="0" applyFont="1" applyBorder="1" applyProtection="1">
      <alignment vertical="center"/>
    </xf>
    <xf numFmtId="0" fontId="13" fillId="0" borderId="29" xfId="0" applyFont="1" applyBorder="1" applyProtection="1">
      <alignment vertical="center"/>
    </xf>
    <xf numFmtId="0" fontId="13" fillId="0" borderId="30" xfId="0" applyFont="1" applyBorder="1" applyProtection="1">
      <alignment vertical="center"/>
    </xf>
    <xf numFmtId="0" fontId="13" fillId="0" borderId="31" xfId="0" applyFont="1" applyBorder="1" applyProtection="1">
      <alignment vertical="center"/>
    </xf>
    <xf numFmtId="0" fontId="13" fillId="0" borderId="32" xfId="0" applyFont="1" applyBorder="1" applyProtection="1">
      <alignment vertical="center"/>
    </xf>
    <xf numFmtId="0" fontId="26" fillId="0" borderId="0" xfId="0" applyFont="1" applyBorder="1" applyProtection="1">
      <alignment vertical="center"/>
    </xf>
    <xf numFmtId="0" fontId="13" fillId="0" borderId="1" xfId="0" applyFont="1" applyBorder="1" applyAlignment="1" applyProtection="1">
      <alignment horizontal="right" vertical="center"/>
    </xf>
    <xf numFmtId="0" fontId="26" fillId="0" borderId="0" xfId="0" applyFont="1" applyProtection="1">
      <alignment vertical="center"/>
    </xf>
    <xf numFmtId="0" fontId="11" fillId="0" borderId="0" xfId="0" applyFont="1" applyAlignment="1" applyProtection="1">
      <alignment horizontal="right" vertical="center"/>
    </xf>
    <xf numFmtId="0" fontId="11" fillId="0" borderId="1" xfId="0" applyFont="1" applyBorder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0" fontId="11" fillId="0" borderId="0" xfId="0" applyFont="1" applyBorder="1" applyAlignment="1" applyProtection="1">
      <alignment horizontal="left" vertical="center"/>
    </xf>
    <xf numFmtId="0" fontId="20" fillId="0" borderId="0" xfId="0" applyFont="1" applyProtection="1">
      <alignment vertical="center"/>
    </xf>
    <xf numFmtId="0" fontId="11" fillId="0" borderId="1" xfId="0" applyFont="1" applyFill="1" applyBorder="1" applyProtection="1">
      <alignment vertical="center"/>
    </xf>
    <xf numFmtId="0" fontId="6" fillId="0" borderId="0" xfId="0" applyFont="1" applyProtection="1">
      <alignment vertical="center"/>
    </xf>
    <xf numFmtId="0" fontId="6" fillId="0" borderId="36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horizontal="center" vertical="center"/>
    </xf>
    <xf numFmtId="0" fontId="6" fillId="0" borderId="56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57" xfId="0" applyFont="1" applyFill="1" applyBorder="1" applyProtection="1">
      <alignment vertical="center"/>
    </xf>
    <xf numFmtId="0" fontId="6" fillId="0" borderId="57" xfId="0" applyFont="1" applyFill="1" applyBorder="1" applyAlignment="1" applyProtection="1">
      <alignment horizontal="center" vertical="center"/>
    </xf>
    <xf numFmtId="0" fontId="6" fillId="0" borderId="48" xfId="0" applyFont="1" applyFill="1" applyBorder="1" applyAlignment="1" applyProtection="1">
      <alignment horizontal="center" vertical="center"/>
      <protection locked="0"/>
    </xf>
    <xf numFmtId="0" fontId="6" fillId="0" borderId="49" xfId="0" applyFont="1" applyFill="1" applyBorder="1" applyAlignment="1" applyProtection="1">
      <alignment horizontal="center" vertical="center"/>
      <protection locked="0"/>
    </xf>
    <xf numFmtId="0" fontId="6" fillId="0" borderId="49" xfId="0" applyFont="1" applyFill="1" applyBorder="1" applyProtection="1">
      <alignment vertical="center"/>
      <protection locked="0"/>
    </xf>
    <xf numFmtId="0" fontId="6" fillId="0" borderId="50" xfId="0" applyFont="1" applyBorder="1" applyProtection="1">
      <alignment vertical="center"/>
      <protection locked="0"/>
    </xf>
    <xf numFmtId="0" fontId="6" fillId="0" borderId="51" xfId="0" applyFont="1" applyFill="1" applyBorder="1" applyAlignment="1" applyProtection="1">
      <alignment horizontal="center" vertical="center"/>
      <protection locked="0"/>
    </xf>
    <xf numFmtId="0" fontId="6" fillId="0" borderId="1" xfId="0" applyFont="1" applyFill="1" applyBorder="1" applyAlignment="1" applyProtection="1">
      <alignment horizontal="center" vertical="center"/>
      <protection locked="0"/>
    </xf>
    <xf numFmtId="0" fontId="6" fillId="0" borderId="1" xfId="0" applyFont="1" applyFill="1" applyBorder="1" applyProtection="1">
      <alignment vertical="center"/>
      <protection locked="0"/>
    </xf>
    <xf numFmtId="0" fontId="6" fillId="0" borderId="52" xfId="0" applyFont="1" applyBorder="1" applyProtection="1">
      <alignment vertical="center"/>
      <protection locked="0"/>
    </xf>
    <xf numFmtId="0" fontId="6" fillId="0" borderId="53" xfId="0" applyFont="1" applyFill="1" applyBorder="1" applyAlignment="1" applyProtection="1">
      <alignment horizontal="center" vertical="center"/>
      <protection locked="0"/>
    </xf>
    <xf numFmtId="0" fontId="6" fillId="0" borderId="54" xfId="0" applyFont="1" applyFill="1" applyBorder="1" applyAlignment="1" applyProtection="1">
      <alignment horizontal="center" vertical="center"/>
      <protection locked="0"/>
    </xf>
    <xf numFmtId="0" fontId="6" fillId="0" borderId="54" xfId="0" applyFont="1" applyFill="1" applyBorder="1" applyProtection="1">
      <alignment vertical="center"/>
      <protection locked="0"/>
    </xf>
    <xf numFmtId="0" fontId="6" fillId="0" borderId="55" xfId="0" applyFont="1" applyBorder="1" applyProtection="1">
      <alignment vertical="center"/>
      <protection locked="0"/>
    </xf>
    <xf numFmtId="0" fontId="6" fillId="0" borderId="2" xfId="0" applyFont="1" applyFill="1" applyBorder="1" applyAlignment="1" applyProtection="1">
      <alignment horizontal="center" vertical="center"/>
      <protection locked="0"/>
    </xf>
    <xf numFmtId="0" fontId="6" fillId="0" borderId="30" xfId="0" applyFont="1" applyBorder="1" applyProtection="1">
      <alignment vertical="center"/>
    </xf>
    <xf numFmtId="0" fontId="6" fillId="0" borderId="31" xfId="0" applyFont="1" applyBorder="1" applyProtection="1">
      <alignment vertical="center"/>
    </xf>
    <xf numFmtId="0" fontId="6" fillId="0" borderId="32" xfId="0" applyFont="1" applyBorder="1" applyProtection="1">
      <alignment vertical="center"/>
    </xf>
    <xf numFmtId="0" fontId="7" fillId="0" borderId="0" xfId="0" applyFont="1" applyFill="1" applyBorder="1" applyAlignment="1" applyProtection="1">
      <alignment horizontal="left" vertical="center"/>
    </xf>
    <xf numFmtId="0" fontId="6" fillId="0" borderId="38" xfId="0" applyFont="1" applyBorder="1" applyProtection="1">
      <alignment vertical="center"/>
    </xf>
    <xf numFmtId="0" fontId="7" fillId="0" borderId="0" xfId="0" applyFont="1" applyBorder="1">
      <alignment vertical="center"/>
    </xf>
    <xf numFmtId="0" fontId="7" fillId="0" borderId="0" xfId="0" applyFont="1">
      <alignment vertical="center"/>
    </xf>
    <xf numFmtId="0" fontId="6" fillId="3" borderId="0" xfId="0" applyFont="1" applyFill="1" applyBorder="1" applyProtection="1">
      <alignment vertical="center"/>
    </xf>
    <xf numFmtId="0" fontId="6" fillId="0" borderId="0" xfId="0" applyFont="1" applyProtection="1">
      <alignment vertical="center"/>
    </xf>
    <xf numFmtId="0" fontId="6" fillId="3" borderId="0" xfId="0" quotePrefix="1" applyFont="1" applyFill="1" applyBorder="1" applyProtection="1">
      <alignment vertical="center"/>
    </xf>
    <xf numFmtId="0" fontId="6" fillId="0" borderId="41" xfId="0" applyFont="1" applyBorder="1" applyProtection="1">
      <alignment vertical="center"/>
    </xf>
    <xf numFmtId="0" fontId="28" fillId="3" borderId="0" xfId="1" applyFont="1" applyFill="1" applyBorder="1">
      <alignment vertical="center"/>
    </xf>
    <xf numFmtId="0" fontId="7" fillId="0" borderId="28" xfId="0" applyFont="1" applyBorder="1">
      <alignment vertical="center"/>
    </xf>
    <xf numFmtId="0" fontId="7" fillId="0" borderId="29" xfId="0" applyFont="1" applyBorder="1">
      <alignment vertical="center"/>
    </xf>
    <xf numFmtId="0" fontId="29" fillId="0" borderId="0" xfId="0" applyFont="1">
      <alignment vertical="center"/>
    </xf>
    <xf numFmtId="0" fontId="11" fillId="2" borderId="1" xfId="0" applyFont="1" applyFill="1" applyBorder="1" applyAlignment="1" applyProtection="1">
      <alignment horizontal="center" vertical="center"/>
    </xf>
    <xf numFmtId="0" fontId="11" fillId="2" borderId="9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left" vertical="center"/>
      <protection locked="0"/>
    </xf>
    <xf numFmtId="0" fontId="6" fillId="3" borderId="23" xfId="0" applyFont="1" applyFill="1" applyBorder="1" applyAlignment="1" applyProtection="1">
      <alignment horizontal="left" vertical="center"/>
      <protection locked="0"/>
    </xf>
    <xf numFmtId="0" fontId="6" fillId="3" borderId="24" xfId="0" applyFont="1" applyFill="1" applyBorder="1" applyAlignment="1" applyProtection="1">
      <alignment horizontal="left" vertical="center"/>
      <protection locked="0"/>
    </xf>
    <xf numFmtId="0" fontId="6" fillId="0" borderId="4" xfId="0" applyFont="1" applyFill="1" applyBorder="1" applyAlignment="1" applyProtection="1">
      <alignment horizontal="left" vertical="center"/>
      <protection locked="0"/>
    </xf>
    <xf numFmtId="0" fontId="6" fillId="0" borderId="23" xfId="0" applyFont="1" applyFill="1" applyBorder="1" applyAlignment="1" applyProtection="1">
      <alignment horizontal="left" vertical="center"/>
      <protection locked="0"/>
    </xf>
    <xf numFmtId="0" fontId="6" fillId="0" borderId="24" xfId="0" applyFont="1" applyFill="1" applyBorder="1" applyAlignment="1" applyProtection="1">
      <alignment horizontal="left" vertical="center"/>
      <protection locked="0"/>
    </xf>
    <xf numFmtId="0" fontId="6" fillId="0" borderId="37" xfId="0" applyFont="1" applyFill="1" applyBorder="1" applyAlignment="1" applyProtection="1">
      <alignment horizontal="left" vertical="top" wrapText="1"/>
      <protection locked="0"/>
    </xf>
    <xf numFmtId="0" fontId="6" fillId="0" borderId="38" xfId="0" applyFont="1" applyFill="1" applyBorder="1" applyAlignment="1" applyProtection="1">
      <alignment horizontal="left" vertical="top" wrapText="1"/>
      <protection locked="0"/>
    </xf>
    <xf numFmtId="0" fontId="6" fillId="0" borderId="39" xfId="0" applyFont="1" applyFill="1" applyBorder="1" applyAlignment="1" applyProtection="1">
      <alignment horizontal="left" vertical="top" wrapText="1"/>
      <protection locked="0"/>
    </xf>
    <xf numFmtId="0" fontId="6" fillId="0" borderId="40" xfId="0" applyFont="1" applyFill="1" applyBorder="1" applyAlignment="1" applyProtection="1">
      <alignment horizontal="left" vertical="top" wrapText="1"/>
      <protection locked="0"/>
    </xf>
    <xf numFmtId="0" fontId="6" fillId="0" borderId="41" xfId="0" applyFont="1" applyFill="1" applyBorder="1" applyAlignment="1" applyProtection="1">
      <alignment horizontal="left" vertical="top" wrapText="1"/>
      <protection locked="0"/>
    </xf>
    <xf numFmtId="0" fontId="6" fillId="0" borderId="42" xfId="0" applyFont="1" applyFill="1" applyBorder="1" applyAlignment="1" applyProtection="1">
      <alignment horizontal="left" vertical="top" wrapText="1"/>
      <protection locked="0"/>
    </xf>
    <xf numFmtId="0" fontId="13" fillId="0" borderId="45" xfId="0" applyFont="1" applyBorder="1" applyAlignment="1" applyProtection="1">
      <alignment horizontal="left" vertical="center"/>
    </xf>
    <xf numFmtId="0" fontId="13" fillId="0" borderId="46" xfId="0" applyFont="1" applyBorder="1" applyAlignment="1" applyProtection="1">
      <alignment horizontal="left" vertical="center"/>
    </xf>
    <xf numFmtId="0" fontId="13" fillId="0" borderId="3" xfId="0" applyFont="1" applyBorder="1" applyAlignment="1" applyProtection="1">
      <alignment horizontal="left" vertical="center"/>
    </xf>
    <xf numFmtId="0" fontId="6" fillId="0" borderId="56" xfId="0" applyFont="1" applyFill="1" applyBorder="1" applyAlignment="1" applyProtection="1">
      <alignment horizontal="center" vertical="center"/>
    </xf>
    <xf numFmtId="0" fontId="16" fillId="0" borderId="37" xfId="0" applyFont="1" applyFill="1" applyBorder="1" applyAlignment="1" applyProtection="1">
      <alignment horizontal="center" vertical="center"/>
      <protection locked="0"/>
    </xf>
    <xf numFmtId="0" fontId="16" fillId="0" borderId="38" xfId="0" applyFont="1" applyFill="1" applyBorder="1" applyAlignment="1" applyProtection="1">
      <alignment horizontal="center" vertical="center"/>
      <protection locked="0"/>
    </xf>
    <xf numFmtId="0" fontId="16" fillId="0" borderId="39" xfId="0" applyFont="1" applyFill="1" applyBorder="1" applyAlignment="1" applyProtection="1">
      <alignment horizontal="center" vertical="center"/>
      <protection locked="0"/>
    </xf>
    <xf numFmtId="0" fontId="16" fillId="0" borderId="40" xfId="0" applyFont="1" applyFill="1" applyBorder="1" applyAlignment="1" applyProtection="1">
      <alignment horizontal="center" vertical="center"/>
      <protection locked="0"/>
    </xf>
    <xf numFmtId="0" fontId="16" fillId="0" borderId="41" xfId="0" applyFont="1" applyFill="1" applyBorder="1" applyAlignment="1" applyProtection="1">
      <alignment horizontal="center" vertical="center"/>
      <protection locked="0"/>
    </xf>
    <xf numFmtId="0" fontId="16" fillId="0" borderId="42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/>
    </xf>
    <xf numFmtId="0" fontId="2" fillId="3" borderId="0" xfId="1" applyFill="1" applyBorder="1" applyProtection="1">
      <alignment vertical="center"/>
    </xf>
    <xf numFmtId="0" fontId="2" fillId="0" borderId="0" xfId="1" applyFill="1" applyBorder="1" applyProtection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asicTag!A1"/><Relationship Id="rId2" Type="http://schemas.openxmlformats.org/officeDocument/2006/relationships/hyperlink" Target="#Bluetooth!A1"/><Relationship Id="rId1" Type="http://schemas.openxmlformats.org/officeDocument/2006/relationships/hyperlink" Target="#WiFi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9</xdr:row>
      <xdr:rowOff>9015</xdr:rowOff>
    </xdr:from>
    <xdr:to>
      <xdr:col>4</xdr:col>
      <xdr:colOff>329939</xdr:colOff>
      <xdr:row>15</xdr:row>
      <xdr:rowOff>129513</xdr:rowOff>
    </xdr:to>
    <xdr:grpSp>
      <xdr:nvGrpSpPr>
        <xdr:cNvPr id="11" name="グループ化 10"/>
        <xdr:cNvGrpSpPr/>
      </xdr:nvGrpSpPr>
      <xdr:grpSpPr>
        <a:xfrm>
          <a:off x="1562100" y="1990215"/>
          <a:ext cx="1206239" cy="1263498"/>
          <a:chOff x="1371600" y="2276475"/>
          <a:chExt cx="1224136" cy="1152128"/>
        </a:xfrm>
      </xdr:grpSpPr>
      <xdr:sp macro="" textlink="">
        <xdr:nvSpPr>
          <xdr:cNvPr id="5" name="円弧 4"/>
          <xdr:cNvSpPr/>
        </xdr:nvSpPr>
        <xdr:spPr>
          <a:xfrm>
            <a:off x="1371600" y="2852539"/>
            <a:ext cx="576064" cy="576064"/>
          </a:xfrm>
          <a:prstGeom prst="arc">
            <a:avLst/>
          </a:prstGeom>
          <a:noFill/>
          <a:ln w="25400" cap="rnd" cmpd="sng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kumimoji="1" lang="ja-JP" altLang="en-US"/>
          </a:p>
        </xdr:txBody>
      </xdr:sp>
      <xdr:grpSp>
        <xdr:nvGrpSpPr>
          <xdr:cNvPr id="6" name="グループ化 5"/>
          <xdr:cNvGrpSpPr/>
        </xdr:nvGrpSpPr>
        <xdr:grpSpPr>
          <a:xfrm>
            <a:off x="1443608" y="2276475"/>
            <a:ext cx="1152128" cy="1080120"/>
            <a:chOff x="827584" y="1268760"/>
            <a:chExt cx="1152128" cy="1080120"/>
          </a:xfrm>
        </xdr:grpSpPr>
        <xdr:sp macro="" textlink="">
          <xdr:nvSpPr>
            <xdr:cNvPr id="7" name="角丸四角形 6">
              <a:hlinkClick xmlns:r="http://schemas.openxmlformats.org/officeDocument/2006/relationships" r:id="rId1"/>
            </xdr:cNvPr>
            <xdr:cNvSpPr/>
          </xdr:nvSpPr>
          <xdr:spPr>
            <a:xfrm>
              <a:off x="971600" y="1268760"/>
              <a:ext cx="1008112" cy="936104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ja-JP"/>
              </a:defPPr>
              <a:lvl1pPr marL="0" algn="l" defTabSz="914400" rtl="0" eaLnBrk="1" latinLnBrk="0" hangingPunct="1">
                <a:defRPr kumimoji="1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kumimoji="1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kumimoji="1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kumimoji="1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kumimoji="1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umimoji="1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umimoji="1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umimoji="1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umimoji="1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kumimoji="1" lang="en-US" altLang="ja-JP" sz="1400" baseline="0"/>
                <a:t>WiFi</a:t>
              </a:r>
              <a:r>
                <a:rPr kumimoji="1" lang="en-US" altLang="ja-JP" sz="1400"/>
                <a:t> Handover</a:t>
              </a:r>
              <a:br>
                <a:rPr kumimoji="1" lang="en-US" altLang="ja-JP" sz="1400"/>
              </a:br>
              <a:endParaRPr kumimoji="1" lang="en-US" altLang="ja-JP" sz="1400" baseline="0"/>
            </a:p>
          </xdr:txBody>
        </xdr:sp>
        <xdr:sp macro="" textlink="">
          <xdr:nvSpPr>
            <xdr:cNvPr id="8" name="円弧 7"/>
            <xdr:cNvSpPr/>
          </xdr:nvSpPr>
          <xdr:spPr>
            <a:xfrm>
              <a:off x="827584" y="1916832"/>
              <a:ext cx="432048" cy="432048"/>
            </a:xfrm>
            <a:prstGeom prst="arc">
              <a:avLst/>
            </a:prstGeom>
            <a:noFill/>
            <a:ln w="25400" cap="rnd" cmpd="sng"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ja-JP"/>
              </a:defPPr>
              <a:lvl1pPr marL="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kumimoji="1" lang="ja-JP" altLang="en-US"/>
            </a:p>
          </xdr:txBody>
        </xdr:sp>
        <xdr:sp macro="" textlink="">
          <xdr:nvSpPr>
            <xdr:cNvPr id="9" name="円/楕円 8"/>
            <xdr:cNvSpPr/>
          </xdr:nvSpPr>
          <xdr:spPr>
            <a:xfrm>
              <a:off x="1043608" y="2054337"/>
              <a:ext cx="76398" cy="72008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ja-JP"/>
              </a:defPPr>
              <a:lvl1pPr marL="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kumimoji="1" lang="ja-JP" altLang="en-US"/>
            </a:p>
          </xdr:txBody>
        </xdr:sp>
        <xdr:sp macro="" textlink="">
          <xdr:nvSpPr>
            <xdr:cNvPr id="10" name="円弧 9"/>
            <xdr:cNvSpPr/>
          </xdr:nvSpPr>
          <xdr:spPr>
            <a:xfrm>
              <a:off x="899592" y="1988840"/>
              <a:ext cx="288032" cy="288032"/>
            </a:xfrm>
            <a:prstGeom prst="arc">
              <a:avLst/>
            </a:prstGeom>
            <a:noFill/>
            <a:ln w="25400" cap="rnd" cmpd="sng"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ja-JP"/>
              </a:defPPr>
              <a:lvl1pPr marL="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kumimoji="1" lang="ja-JP" altLang="en-US"/>
            </a:p>
          </xdr:txBody>
        </xdr:sp>
      </xdr:grpSp>
    </xdr:grpSp>
    <xdr:clientData/>
  </xdr:twoCellAnchor>
  <xdr:twoCellAnchor>
    <xdr:from>
      <xdr:col>5</xdr:col>
      <xdr:colOff>16852</xdr:colOff>
      <xdr:row>9</xdr:row>
      <xdr:rowOff>12456</xdr:rowOff>
    </xdr:from>
    <xdr:to>
      <xdr:col>6</xdr:col>
      <xdr:colOff>485775</xdr:colOff>
      <xdr:row>14</xdr:row>
      <xdr:rowOff>91310</xdr:rowOff>
    </xdr:to>
    <xdr:grpSp>
      <xdr:nvGrpSpPr>
        <xdr:cNvPr id="12" name="グループ化 11">
          <a:hlinkClick xmlns:r="http://schemas.openxmlformats.org/officeDocument/2006/relationships" r:id="rId2"/>
        </xdr:cNvPr>
        <xdr:cNvGrpSpPr/>
      </xdr:nvGrpSpPr>
      <xdr:grpSpPr>
        <a:xfrm>
          <a:off x="3064852" y="1993656"/>
          <a:ext cx="1078523" cy="1031354"/>
          <a:chOff x="1871700" y="2420888"/>
          <a:chExt cx="1008112" cy="936104"/>
        </a:xfrm>
      </xdr:grpSpPr>
      <xdr:sp macro="" textlink="">
        <xdr:nvSpPr>
          <xdr:cNvPr id="13" name="角丸四角形 12">
            <a:hlinkClick xmlns:r="http://schemas.openxmlformats.org/officeDocument/2006/relationships" r:id="rId2"/>
          </xdr:cNvPr>
          <xdr:cNvSpPr/>
        </xdr:nvSpPr>
        <xdr:spPr>
          <a:xfrm>
            <a:off x="1871700" y="2420888"/>
            <a:ext cx="1008112" cy="936104"/>
          </a:xfrm>
          <a:prstGeom prst="roundRect">
            <a:avLst/>
          </a:prstGeom>
          <a:solidFill>
            <a:schemeClr val="accent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kumimoji="1" lang="en-US" altLang="ja-JP" sz="1400" baseline="0"/>
              <a:t>Bluetooth</a:t>
            </a:r>
            <a:br>
              <a:rPr kumimoji="1" lang="en-US" altLang="ja-JP" sz="1400" baseline="0"/>
            </a:br>
            <a:r>
              <a:rPr kumimoji="1" lang="en-US" altLang="ja-JP" sz="1400" baseline="0"/>
              <a:t>Handover</a:t>
            </a:r>
            <a:br>
              <a:rPr kumimoji="1" lang="en-US" altLang="ja-JP" sz="1400" baseline="0"/>
            </a:br>
            <a:endParaRPr kumimoji="1" lang="en-US" altLang="ja-JP" sz="1400" baseline="0"/>
          </a:p>
        </xdr:txBody>
      </xdr:sp>
      <xdr:sp macro="" textlink="">
        <xdr:nvSpPr>
          <xdr:cNvPr id="14" name="フリーフォーム 13"/>
          <xdr:cNvSpPr/>
        </xdr:nvSpPr>
        <xdr:spPr>
          <a:xfrm>
            <a:off x="1943709" y="2996952"/>
            <a:ext cx="144015" cy="288032"/>
          </a:xfrm>
          <a:custGeom>
            <a:avLst/>
            <a:gdLst>
              <a:gd name="connsiteX0" fmla="*/ 2380 w 216693"/>
              <a:gd name="connsiteY0" fmla="*/ 352424 h 573880"/>
              <a:gd name="connsiteX1" fmla="*/ 214311 w 216693"/>
              <a:gd name="connsiteY1" fmla="*/ 140493 h 573880"/>
              <a:gd name="connsiteX2" fmla="*/ 73818 w 216693"/>
              <a:gd name="connsiteY2" fmla="*/ 0 h 573880"/>
              <a:gd name="connsiteX3" fmla="*/ 73818 w 216693"/>
              <a:gd name="connsiteY3" fmla="*/ 573880 h 573880"/>
              <a:gd name="connsiteX4" fmla="*/ 216693 w 216693"/>
              <a:gd name="connsiteY4" fmla="*/ 431005 h 573880"/>
              <a:gd name="connsiteX5" fmla="*/ 0 w 216693"/>
              <a:gd name="connsiteY5" fmla="*/ 214312 h 573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16693" h="573880">
                <a:moveTo>
                  <a:pt x="2380" y="352424"/>
                </a:moveTo>
                <a:lnTo>
                  <a:pt x="214311" y="140493"/>
                </a:lnTo>
                <a:lnTo>
                  <a:pt x="73818" y="0"/>
                </a:lnTo>
                <a:lnTo>
                  <a:pt x="73818" y="573880"/>
                </a:lnTo>
                <a:lnTo>
                  <a:pt x="216693" y="431005"/>
                </a:lnTo>
                <a:lnTo>
                  <a:pt x="0" y="214312"/>
                </a:lnTo>
              </a:path>
            </a:pathLst>
          </a:custGeom>
          <a:noFill/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kumimoji="1" lang="ja-JP" altLang="en-US"/>
          </a:p>
        </xdr:txBody>
      </xdr:sp>
    </xdr:grpSp>
    <xdr:clientData/>
  </xdr:twoCellAnchor>
  <xdr:twoCellAnchor>
    <xdr:from>
      <xdr:col>7</xdr:col>
      <xdr:colOff>197094</xdr:colOff>
      <xdr:row>9</xdr:row>
      <xdr:rowOff>16852</xdr:rowOff>
    </xdr:from>
    <xdr:to>
      <xdr:col>9</xdr:col>
      <xdr:colOff>133349</xdr:colOff>
      <xdr:row>14</xdr:row>
      <xdr:rowOff>92775</xdr:rowOff>
    </xdr:to>
    <xdr:grpSp>
      <xdr:nvGrpSpPr>
        <xdr:cNvPr id="15" name="グループ化 14"/>
        <xdr:cNvGrpSpPr/>
      </xdr:nvGrpSpPr>
      <xdr:grpSpPr>
        <a:xfrm>
          <a:off x="4464294" y="1998052"/>
          <a:ext cx="1155455" cy="1028423"/>
          <a:chOff x="5292080" y="3429000"/>
          <a:chExt cx="1008112" cy="936104"/>
        </a:xfrm>
      </xdr:grpSpPr>
      <xdr:sp macro="" textlink="">
        <xdr:nvSpPr>
          <xdr:cNvPr id="16" name="角丸四角形 15">
            <a:hlinkClick xmlns:r="http://schemas.openxmlformats.org/officeDocument/2006/relationships" r:id="rId3"/>
          </xdr:cNvPr>
          <xdr:cNvSpPr/>
        </xdr:nvSpPr>
        <xdr:spPr>
          <a:xfrm>
            <a:off x="5292080" y="3429000"/>
            <a:ext cx="1008112" cy="93610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kumimoji="1" lang="en-US" altLang="ja-JP" sz="1200" baseline="0"/>
              <a:t>Basic URI Tag Type</a:t>
            </a:r>
          </a:p>
          <a:p>
            <a:pPr algn="ctr"/>
            <a:endParaRPr lang="en-US" altLang="ja-JP" sz="1200"/>
          </a:p>
        </xdr:txBody>
      </xdr:sp>
      <xdr:sp macro="" textlink="">
        <xdr:nvSpPr>
          <xdr:cNvPr id="17" name="ホームベース 16"/>
          <xdr:cNvSpPr/>
        </xdr:nvSpPr>
        <xdr:spPr>
          <a:xfrm rot="18781219">
            <a:off x="5400092" y="4040033"/>
            <a:ext cx="288032" cy="216024"/>
          </a:xfrm>
          <a:prstGeom prst="homePlate">
            <a:avLst>
              <a:gd name="adj" fmla="val 33833"/>
            </a:avLst>
          </a:prstGeom>
          <a:solidFill>
            <a:schemeClr val="tx2">
              <a:lumMod val="20000"/>
              <a:lumOff val="80000"/>
            </a:schemeClr>
          </a:solidFill>
          <a:ln w="19050" cap="rnd" cmpd="sng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kumimoji="1" lang="ja-JP" altLang="en-US"/>
          </a:p>
        </xdr:txBody>
      </xdr:sp>
      <xdr:sp macro="" textlink="">
        <xdr:nvSpPr>
          <xdr:cNvPr id="18" name="円/楕円 17"/>
          <xdr:cNvSpPr/>
        </xdr:nvSpPr>
        <xdr:spPr>
          <a:xfrm>
            <a:off x="5539346" y="4072310"/>
            <a:ext cx="72008" cy="72008"/>
          </a:xfrm>
          <a:prstGeom prst="ellipse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kumimoji="1" lang="ja-JP" altLang="en-US"/>
          </a:p>
        </xdr:txBody>
      </xdr:sp>
      <xdr:sp macro="" textlink="">
        <xdr:nvSpPr>
          <xdr:cNvPr id="19" name="円/楕円 18"/>
          <xdr:cNvSpPr/>
        </xdr:nvSpPr>
        <xdr:spPr>
          <a:xfrm>
            <a:off x="5544108" y="4077072"/>
            <a:ext cx="72008" cy="72008"/>
          </a:xfrm>
          <a:prstGeom prst="ellipse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kumimoji="1" lang="ja-JP" altLang="en-US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132522</xdr:colOff>
      <xdr:row>18</xdr:row>
      <xdr:rowOff>198783</xdr:rowOff>
    </xdr:from>
    <xdr:to>
      <xdr:col>8</xdr:col>
      <xdr:colOff>453178</xdr:colOff>
      <xdr:row>23</xdr:row>
      <xdr:rowOff>8452</xdr:rowOff>
    </xdr:to>
    <xdr:grpSp>
      <xdr:nvGrpSpPr>
        <xdr:cNvPr id="48" name="グループ化 47"/>
        <xdr:cNvGrpSpPr/>
      </xdr:nvGrpSpPr>
      <xdr:grpSpPr>
        <a:xfrm>
          <a:off x="4333047" y="4285008"/>
          <a:ext cx="920731" cy="971719"/>
          <a:chOff x="3851920" y="1988840"/>
          <a:chExt cx="1008112" cy="936104"/>
        </a:xfrm>
      </xdr:grpSpPr>
      <xdr:sp macro="[0]!Module1.wifi" textlink="">
        <xdr:nvSpPr>
          <xdr:cNvPr id="49" name="角丸四角形 48"/>
          <xdr:cNvSpPr/>
        </xdr:nvSpPr>
        <xdr:spPr>
          <a:xfrm>
            <a:off x="3851920" y="1988840"/>
            <a:ext cx="1008112" cy="93610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kumimoji="1" lang="en-US" altLang="ja-JP" sz="1200" baseline="0"/>
              <a:t>Make</a:t>
            </a:r>
            <a:r>
              <a:rPr kumimoji="1" lang="en-US" altLang="ja-JP" sz="1200"/>
              <a:t> Output File</a:t>
            </a:r>
            <a:r>
              <a:rPr kumimoji="1" lang="en-US" altLang="ja-JP" sz="1200" baseline="0"/>
              <a:t/>
            </a:r>
            <a:br>
              <a:rPr kumimoji="1" lang="en-US" altLang="ja-JP" sz="1200" baseline="0"/>
            </a:br>
            <a:endParaRPr kumimoji="1" lang="en-US" altLang="ja-JP" sz="1200" baseline="0"/>
          </a:p>
        </xdr:txBody>
      </xdr:sp>
      <xdr:grpSp>
        <xdr:nvGrpSpPr>
          <xdr:cNvPr id="50" name="グループ化 49"/>
          <xdr:cNvGrpSpPr/>
        </xdr:nvGrpSpPr>
        <xdr:grpSpPr>
          <a:xfrm>
            <a:off x="4427984" y="2636912"/>
            <a:ext cx="288032" cy="216024"/>
            <a:chOff x="4499992" y="2620603"/>
            <a:chExt cx="288032" cy="216024"/>
          </a:xfrm>
        </xdr:grpSpPr>
        <xdr:sp macro="" textlink="">
          <xdr:nvSpPr>
            <xdr:cNvPr id="52" name="1 つの角を切り取った四角形 51"/>
            <xdr:cNvSpPr/>
          </xdr:nvSpPr>
          <xdr:spPr>
            <a:xfrm>
              <a:off x="4499992" y="2620603"/>
              <a:ext cx="288032" cy="216024"/>
            </a:xfrm>
            <a:prstGeom prst="snip1Rect">
              <a:avLst/>
            </a:prstGeom>
            <a:solidFill>
              <a:schemeClr val="bg1"/>
            </a:solidFill>
            <a:ln w="3175">
              <a:solidFill>
                <a:srgbClr val="00206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rtlCol="0" anchor="ctr"/>
            <a:lstStyle>
              <a:defPPr>
                <a:defRPr lang="ja-JP"/>
              </a:defPPr>
              <a:lvl1pPr marL="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kumimoji="1" lang="ja-JP" altLang="en-US"/>
            </a:p>
          </xdr:txBody>
        </xdr:sp>
        <xdr:cxnSp macro="">
          <xdr:nvCxnSpPr>
            <xdr:cNvPr id="53" name="直線コネクタ 52"/>
            <xdr:cNvCxnSpPr/>
          </xdr:nvCxnSpPr>
          <xdr:spPr>
            <a:xfrm>
              <a:off x="4535996" y="2672916"/>
              <a:ext cx="216024" cy="0"/>
            </a:xfrm>
            <a:prstGeom prst="line">
              <a:avLst/>
            </a:prstGeom>
            <a:ln>
              <a:solidFill>
                <a:srgbClr val="00206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4" name="直線コネクタ 53"/>
            <xdr:cNvCxnSpPr/>
          </xdr:nvCxnSpPr>
          <xdr:spPr>
            <a:xfrm>
              <a:off x="4535996" y="2708920"/>
              <a:ext cx="216024" cy="0"/>
            </a:xfrm>
            <a:prstGeom prst="line">
              <a:avLst/>
            </a:prstGeom>
            <a:ln>
              <a:solidFill>
                <a:srgbClr val="00206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" name="直線コネクタ 54"/>
            <xdr:cNvCxnSpPr/>
          </xdr:nvCxnSpPr>
          <xdr:spPr>
            <a:xfrm>
              <a:off x="4535996" y="2744924"/>
              <a:ext cx="216024" cy="0"/>
            </a:xfrm>
            <a:prstGeom prst="line">
              <a:avLst/>
            </a:prstGeom>
            <a:ln>
              <a:solidFill>
                <a:srgbClr val="00206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" name="直線コネクタ 55"/>
            <xdr:cNvCxnSpPr/>
          </xdr:nvCxnSpPr>
          <xdr:spPr>
            <a:xfrm>
              <a:off x="4535996" y="2780928"/>
              <a:ext cx="216024" cy="0"/>
            </a:xfrm>
            <a:prstGeom prst="line">
              <a:avLst/>
            </a:prstGeom>
            <a:ln>
              <a:solidFill>
                <a:srgbClr val="00206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" name="ストライプ矢印 50"/>
          <xdr:cNvSpPr/>
        </xdr:nvSpPr>
        <xdr:spPr>
          <a:xfrm>
            <a:off x="3995936" y="2689225"/>
            <a:ext cx="324036" cy="127707"/>
          </a:xfrm>
          <a:prstGeom prst="stripedRight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wrap="square" rtlCol="0" anchor="ctr"/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kumimoji="1" lang="ja-JP" altLang="en-US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22</xdr:row>
      <xdr:rowOff>209550</xdr:rowOff>
    </xdr:from>
    <xdr:to>
      <xdr:col>8</xdr:col>
      <xdr:colOff>465187</xdr:colOff>
      <xdr:row>27</xdr:row>
      <xdr:rowOff>31229</xdr:rowOff>
    </xdr:to>
    <xdr:grpSp>
      <xdr:nvGrpSpPr>
        <xdr:cNvPr id="11" name="グループ化 10"/>
        <xdr:cNvGrpSpPr/>
      </xdr:nvGrpSpPr>
      <xdr:grpSpPr>
        <a:xfrm>
          <a:off x="4343400" y="5191125"/>
          <a:ext cx="922387" cy="983729"/>
          <a:chOff x="3823345" y="2007890"/>
          <a:chExt cx="1008112" cy="936104"/>
        </a:xfrm>
      </xdr:grpSpPr>
      <xdr:sp macro="[0]!BasicTag" textlink="">
        <xdr:nvSpPr>
          <xdr:cNvPr id="12" name="角丸四角形 11"/>
          <xdr:cNvSpPr/>
        </xdr:nvSpPr>
        <xdr:spPr>
          <a:xfrm>
            <a:off x="3823345" y="2007890"/>
            <a:ext cx="1008112" cy="93610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kumimoji="1" lang="en-US" altLang="ja-JP" sz="1200" baseline="0"/>
              <a:t>Make</a:t>
            </a:r>
            <a:r>
              <a:rPr kumimoji="1" lang="en-US" altLang="ja-JP" sz="1200"/>
              <a:t> Output File</a:t>
            </a:r>
            <a:r>
              <a:rPr kumimoji="1" lang="en-US" altLang="ja-JP" sz="1200" baseline="0"/>
              <a:t/>
            </a:r>
            <a:br>
              <a:rPr kumimoji="1" lang="en-US" altLang="ja-JP" sz="1200" baseline="0"/>
            </a:br>
            <a:endParaRPr kumimoji="1" lang="en-US" altLang="ja-JP" sz="1200" baseline="0"/>
          </a:p>
        </xdr:txBody>
      </xdr:sp>
      <xdr:grpSp>
        <xdr:nvGrpSpPr>
          <xdr:cNvPr id="13" name="グループ化 12"/>
          <xdr:cNvGrpSpPr/>
        </xdr:nvGrpSpPr>
        <xdr:grpSpPr>
          <a:xfrm>
            <a:off x="4427984" y="2636912"/>
            <a:ext cx="288032" cy="216024"/>
            <a:chOff x="4499992" y="2620603"/>
            <a:chExt cx="288032" cy="216024"/>
          </a:xfrm>
        </xdr:grpSpPr>
        <xdr:sp macro="" textlink="">
          <xdr:nvSpPr>
            <xdr:cNvPr id="15" name="1 つの角を切り取った四角形 14"/>
            <xdr:cNvSpPr/>
          </xdr:nvSpPr>
          <xdr:spPr>
            <a:xfrm>
              <a:off x="4499992" y="2620603"/>
              <a:ext cx="288032" cy="216024"/>
            </a:xfrm>
            <a:prstGeom prst="snip1Rect">
              <a:avLst/>
            </a:prstGeom>
            <a:solidFill>
              <a:schemeClr val="bg1"/>
            </a:solidFill>
            <a:ln w="3175">
              <a:solidFill>
                <a:srgbClr val="00206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rtlCol="0" anchor="ctr"/>
            <a:lstStyle>
              <a:defPPr>
                <a:defRPr lang="ja-JP"/>
              </a:defPPr>
              <a:lvl1pPr marL="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kumimoji="1" lang="ja-JP" altLang="en-US"/>
            </a:p>
          </xdr:txBody>
        </xdr:sp>
        <xdr:cxnSp macro="">
          <xdr:nvCxnSpPr>
            <xdr:cNvPr id="16" name="直線コネクタ 15"/>
            <xdr:cNvCxnSpPr/>
          </xdr:nvCxnSpPr>
          <xdr:spPr>
            <a:xfrm>
              <a:off x="4535996" y="2672916"/>
              <a:ext cx="216024" cy="0"/>
            </a:xfrm>
            <a:prstGeom prst="line">
              <a:avLst/>
            </a:prstGeom>
            <a:ln>
              <a:solidFill>
                <a:srgbClr val="00206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" name="直線コネクタ 16"/>
            <xdr:cNvCxnSpPr/>
          </xdr:nvCxnSpPr>
          <xdr:spPr>
            <a:xfrm>
              <a:off x="4535996" y="2708920"/>
              <a:ext cx="216024" cy="0"/>
            </a:xfrm>
            <a:prstGeom prst="line">
              <a:avLst/>
            </a:prstGeom>
            <a:ln>
              <a:solidFill>
                <a:srgbClr val="00206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" name="直線コネクタ 17"/>
            <xdr:cNvCxnSpPr/>
          </xdr:nvCxnSpPr>
          <xdr:spPr>
            <a:xfrm>
              <a:off x="4535996" y="2744924"/>
              <a:ext cx="216024" cy="0"/>
            </a:xfrm>
            <a:prstGeom prst="line">
              <a:avLst/>
            </a:prstGeom>
            <a:ln>
              <a:solidFill>
                <a:srgbClr val="00206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" name="直線コネクタ 18"/>
            <xdr:cNvCxnSpPr/>
          </xdr:nvCxnSpPr>
          <xdr:spPr>
            <a:xfrm>
              <a:off x="4535996" y="2780928"/>
              <a:ext cx="216024" cy="0"/>
            </a:xfrm>
            <a:prstGeom prst="line">
              <a:avLst/>
            </a:prstGeom>
            <a:ln>
              <a:solidFill>
                <a:srgbClr val="00206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" name="ストライプ矢印 13"/>
          <xdr:cNvSpPr/>
        </xdr:nvSpPr>
        <xdr:spPr>
          <a:xfrm>
            <a:off x="3995936" y="2689225"/>
            <a:ext cx="324036" cy="127707"/>
          </a:xfrm>
          <a:prstGeom prst="stripedRight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wrap="square" rtlCol="0" anchor="ctr"/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kumimoji="1" lang="ja-JP" altLang="en-US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100853</xdr:colOff>
      <xdr:row>36</xdr:row>
      <xdr:rowOff>179294</xdr:rowOff>
    </xdr:from>
    <xdr:to>
      <xdr:col>11</xdr:col>
      <xdr:colOff>649941</xdr:colOff>
      <xdr:row>38</xdr:row>
      <xdr:rowOff>0</xdr:rowOff>
    </xdr:to>
    <xdr:cxnSp macro="">
      <xdr:nvCxnSpPr>
        <xdr:cNvPr id="12" name="直線矢印コネクタ 11"/>
        <xdr:cNvCxnSpPr/>
      </xdr:nvCxnSpPr>
      <xdr:spPr>
        <a:xfrm>
          <a:off x="7620000" y="7082118"/>
          <a:ext cx="549088" cy="38100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681403</xdr:colOff>
      <xdr:row>38</xdr:row>
      <xdr:rowOff>161192</xdr:rowOff>
    </xdr:from>
    <xdr:to>
      <xdr:col>11</xdr:col>
      <xdr:colOff>681404</xdr:colOff>
      <xdr:row>38</xdr:row>
      <xdr:rowOff>161192</xdr:rowOff>
    </xdr:to>
    <xdr:cxnSp macro="">
      <xdr:nvCxnSpPr>
        <xdr:cNvPr id="22" name="直線矢印コネクタ 21"/>
        <xdr:cNvCxnSpPr/>
      </xdr:nvCxnSpPr>
      <xdr:spPr>
        <a:xfrm>
          <a:off x="7568711" y="7532077"/>
          <a:ext cx="688731" cy="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322312</xdr:colOff>
      <xdr:row>87</xdr:row>
      <xdr:rowOff>2654</xdr:rowOff>
    </xdr:to>
    <xdr:grpSp>
      <xdr:nvGrpSpPr>
        <xdr:cNvPr id="13" name="グループ化 12"/>
        <xdr:cNvGrpSpPr/>
      </xdr:nvGrpSpPr>
      <xdr:grpSpPr>
        <a:xfrm>
          <a:off x="4200525" y="19211925"/>
          <a:ext cx="922387" cy="936104"/>
          <a:chOff x="3851920" y="1988840"/>
          <a:chExt cx="1008112" cy="936104"/>
        </a:xfrm>
      </xdr:grpSpPr>
      <xdr:sp macro="[0]!BTOOB" textlink="">
        <xdr:nvSpPr>
          <xdr:cNvPr id="14" name="角丸四角形 13"/>
          <xdr:cNvSpPr/>
        </xdr:nvSpPr>
        <xdr:spPr>
          <a:xfrm>
            <a:off x="3851920" y="1988840"/>
            <a:ext cx="1008112" cy="93610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kumimoji="1" lang="en-US" altLang="ja-JP" sz="1200" baseline="0"/>
              <a:t>Make</a:t>
            </a:r>
            <a:r>
              <a:rPr kumimoji="1" lang="en-US" altLang="ja-JP" sz="1200"/>
              <a:t> Output File</a:t>
            </a:r>
            <a:r>
              <a:rPr kumimoji="1" lang="en-US" altLang="ja-JP" sz="1200" baseline="0"/>
              <a:t/>
            </a:r>
            <a:br>
              <a:rPr kumimoji="1" lang="en-US" altLang="ja-JP" sz="1200" baseline="0"/>
            </a:br>
            <a:endParaRPr kumimoji="1" lang="en-US" altLang="ja-JP" sz="1200" baseline="0"/>
          </a:p>
        </xdr:txBody>
      </xdr:sp>
      <xdr:grpSp>
        <xdr:nvGrpSpPr>
          <xdr:cNvPr id="15" name="グループ化 14"/>
          <xdr:cNvGrpSpPr/>
        </xdr:nvGrpSpPr>
        <xdr:grpSpPr>
          <a:xfrm>
            <a:off x="4427984" y="2636912"/>
            <a:ext cx="288032" cy="216024"/>
            <a:chOff x="4499992" y="2620603"/>
            <a:chExt cx="288032" cy="216024"/>
          </a:xfrm>
        </xdr:grpSpPr>
        <xdr:sp macro="[0]!BTOOB" textlink="">
          <xdr:nvSpPr>
            <xdr:cNvPr id="17" name="1 つの角を切り取った四角形 16"/>
            <xdr:cNvSpPr/>
          </xdr:nvSpPr>
          <xdr:spPr>
            <a:xfrm>
              <a:off x="4499992" y="2620603"/>
              <a:ext cx="288032" cy="216024"/>
            </a:xfrm>
            <a:prstGeom prst="snip1Rect">
              <a:avLst/>
            </a:prstGeom>
            <a:solidFill>
              <a:schemeClr val="bg1"/>
            </a:solidFill>
            <a:ln w="3175">
              <a:solidFill>
                <a:srgbClr val="00206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rtlCol="0" anchor="ctr"/>
            <a:lstStyle>
              <a:defPPr>
                <a:defRPr lang="ja-JP"/>
              </a:defPPr>
              <a:lvl1pPr marL="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umimoji="1"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kumimoji="1" lang="ja-JP" altLang="en-US"/>
            </a:p>
          </xdr:txBody>
        </xdr:sp>
        <xdr:cxnSp macro="[0]!BTOOB">
          <xdr:nvCxnSpPr>
            <xdr:cNvPr id="18" name="直線コネクタ 17"/>
            <xdr:cNvCxnSpPr/>
          </xdr:nvCxnSpPr>
          <xdr:spPr>
            <a:xfrm>
              <a:off x="4535996" y="2672916"/>
              <a:ext cx="216024" cy="0"/>
            </a:xfrm>
            <a:prstGeom prst="line">
              <a:avLst/>
            </a:prstGeom>
            <a:ln>
              <a:solidFill>
                <a:srgbClr val="00206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[0]!BTOOB">
          <xdr:nvCxnSpPr>
            <xdr:cNvPr id="19" name="直線コネクタ 18"/>
            <xdr:cNvCxnSpPr/>
          </xdr:nvCxnSpPr>
          <xdr:spPr>
            <a:xfrm>
              <a:off x="4535996" y="2708920"/>
              <a:ext cx="216024" cy="0"/>
            </a:xfrm>
            <a:prstGeom prst="line">
              <a:avLst/>
            </a:prstGeom>
            <a:ln>
              <a:solidFill>
                <a:srgbClr val="00206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[0]!BTOOB">
          <xdr:nvCxnSpPr>
            <xdr:cNvPr id="20" name="直線コネクタ 19"/>
            <xdr:cNvCxnSpPr/>
          </xdr:nvCxnSpPr>
          <xdr:spPr>
            <a:xfrm>
              <a:off x="4535996" y="2744924"/>
              <a:ext cx="216024" cy="0"/>
            </a:xfrm>
            <a:prstGeom prst="line">
              <a:avLst/>
            </a:prstGeom>
            <a:ln>
              <a:solidFill>
                <a:srgbClr val="00206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[0]!BTOOB">
          <xdr:nvCxnSpPr>
            <xdr:cNvPr id="21" name="直線コネクタ 20"/>
            <xdr:cNvCxnSpPr/>
          </xdr:nvCxnSpPr>
          <xdr:spPr>
            <a:xfrm>
              <a:off x="4535996" y="2780928"/>
              <a:ext cx="216024" cy="0"/>
            </a:xfrm>
            <a:prstGeom prst="line">
              <a:avLst/>
            </a:prstGeom>
            <a:ln>
              <a:solidFill>
                <a:srgbClr val="00206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BTOOB" textlink="">
        <xdr:nvSpPr>
          <xdr:cNvPr id="16" name="ストライプ矢印 15"/>
          <xdr:cNvSpPr/>
        </xdr:nvSpPr>
        <xdr:spPr>
          <a:xfrm>
            <a:off x="3995936" y="2689225"/>
            <a:ext cx="324036" cy="127707"/>
          </a:xfrm>
          <a:prstGeom prst="stripedRightArrow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wrap="square" rtlCol="0" anchor="ctr"/>
          <a:lstStyle>
            <a:defPPr>
              <a:defRPr lang="ja-JP"/>
            </a:defPPr>
            <a:lvl1pPr marL="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kumimoji="1" lang="ja-JP" alt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ffice.microsoft.com/en-us/excel-help/dec2hex-HP005209054.asp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lay.google.com/store/apps/details?id=com.wifitap.androi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ftp://ftp./" TargetMode="External"/><Relationship Id="rId2" Type="http://schemas.openxmlformats.org/officeDocument/2006/relationships/hyperlink" Target="https://www./" TargetMode="External"/><Relationship Id="rId1" Type="http://schemas.openxmlformats.org/officeDocument/2006/relationships/hyperlink" Target="http://www./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members.nfc-forum.org/apps/group_public/download.php/17421/NFCForum_AD_BTSSP_1_0_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2"/>
  <sheetViews>
    <sheetView showGridLines="0" zoomScaleNormal="100" workbookViewId="0">
      <selection activeCell="R18" sqref="R18"/>
    </sheetView>
  </sheetViews>
  <sheetFormatPr defaultRowHeight="15"/>
  <sheetData>
    <row r="1" spans="1:14" ht="15.75" thickBot="1">
      <c r="A1" s="28" t="s">
        <v>18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</row>
    <row r="2" spans="1:14">
      <c r="A2" s="28"/>
      <c r="B2" s="29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1"/>
    </row>
    <row r="3" spans="1:14" ht="18">
      <c r="A3" s="28"/>
      <c r="B3" s="32"/>
      <c r="C3" s="33" t="s">
        <v>742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5"/>
    </row>
    <row r="4" spans="1:14" ht="18">
      <c r="A4" s="28"/>
      <c r="B4" s="32"/>
      <c r="C4" s="33"/>
      <c r="D4" s="34"/>
      <c r="E4" s="34"/>
      <c r="F4" s="34"/>
      <c r="G4" s="34"/>
      <c r="H4" s="34"/>
      <c r="I4" s="34"/>
      <c r="J4" s="34"/>
      <c r="K4" s="34"/>
      <c r="L4" s="34"/>
      <c r="M4" s="34"/>
      <c r="N4" s="35"/>
    </row>
    <row r="5" spans="1:14" ht="18">
      <c r="A5" s="28"/>
      <c r="B5" s="32"/>
      <c r="C5" s="33" t="s">
        <v>743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5"/>
    </row>
    <row r="6" spans="1:14" ht="18">
      <c r="A6" s="28"/>
      <c r="B6" s="32"/>
      <c r="C6" s="33"/>
      <c r="D6" s="34"/>
      <c r="E6" s="34"/>
      <c r="F6" s="34"/>
      <c r="G6" s="34"/>
      <c r="H6" s="34"/>
      <c r="I6" s="34"/>
      <c r="J6" s="34"/>
      <c r="K6" s="34"/>
      <c r="L6" s="34"/>
      <c r="M6" s="34"/>
      <c r="N6" s="35"/>
    </row>
    <row r="7" spans="1:14" ht="18">
      <c r="A7" s="28"/>
      <c r="B7" s="32"/>
      <c r="C7" s="33" t="s">
        <v>812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5"/>
    </row>
    <row r="8" spans="1:14" ht="20.25">
      <c r="A8" s="28"/>
      <c r="B8" s="32"/>
      <c r="C8" s="34"/>
      <c r="D8" s="17" t="s">
        <v>744</v>
      </c>
      <c r="E8" s="34"/>
      <c r="F8" s="34"/>
      <c r="G8" s="34"/>
      <c r="H8" s="34"/>
      <c r="I8" s="34"/>
      <c r="J8" s="34"/>
      <c r="K8" s="34"/>
      <c r="L8" s="34"/>
      <c r="M8" s="34"/>
      <c r="N8" s="35"/>
    </row>
    <row r="9" spans="1:14">
      <c r="A9" s="28"/>
      <c r="B9" s="32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5"/>
    </row>
    <row r="10" spans="1:14">
      <c r="A10" s="28"/>
      <c r="B10" s="32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5"/>
    </row>
    <row r="11" spans="1:14">
      <c r="A11" s="28"/>
      <c r="B11" s="32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5"/>
    </row>
    <row r="12" spans="1:14">
      <c r="A12" s="28"/>
      <c r="B12" s="32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5"/>
    </row>
    <row r="13" spans="1:14">
      <c r="A13" s="28"/>
      <c r="B13" s="3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5"/>
    </row>
    <row r="14" spans="1:14">
      <c r="A14" s="28"/>
      <c r="B14" s="32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5"/>
    </row>
    <row r="15" spans="1:14">
      <c r="A15" s="28"/>
      <c r="B15" s="32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5"/>
    </row>
    <row r="16" spans="1:14">
      <c r="A16" s="28"/>
      <c r="B16" s="32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5"/>
    </row>
    <row r="17" spans="1:14" ht="18">
      <c r="A17" s="28"/>
      <c r="B17" s="32"/>
      <c r="C17" s="33" t="s">
        <v>745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5"/>
    </row>
    <row r="18" spans="1:14" ht="18">
      <c r="A18" s="28"/>
      <c r="B18" s="32"/>
      <c r="C18" s="33"/>
      <c r="D18" s="40" t="s">
        <v>746</v>
      </c>
      <c r="E18" s="33"/>
      <c r="F18" s="33"/>
      <c r="G18" s="33"/>
      <c r="H18" s="33"/>
      <c r="I18" s="33"/>
      <c r="J18" s="33"/>
      <c r="K18" s="33"/>
      <c r="L18" s="33"/>
      <c r="M18" s="33"/>
      <c r="N18" s="35"/>
    </row>
    <row r="19" spans="1:14" ht="18">
      <c r="A19" s="28"/>
      <c r="B19" s="32"/>
      <c r="C19" s="33"/>
      <c r="D19" s="40" t="s">
        <v>747</v>
      </c>
      <c r="E19" s="33"/>
      <c r="F19" s="33"/>
      <c r="G19" s="33"/>
      <c r="H19" s="33"/>
      <c r="I19" s="33"/>
      <c r="J19" s="33"/>
      <c r="K19" s="33"/>
      <c r="L19" s="33"/>
      <c r="M19" s="33"/>
      <c r="N19" s="35"/>
    </row>
    <row r="20" spans="1:14" ht="18">
      <c r="A20" s="28"/>
      <c r="B20" s="32"/>
      <c r="C20" s="33"/>
      <c r="D20" s="41" t="s">
        <v>748</v>
      </c>
      <c r="E20" s="33"/>
      <c r="F20" s="33"/>
      <c r="G20" s="33"/>
      <c r="H20" s="33"/>
      <c r="I20" s="33"/>
      <c r="J20" s="33"/>
      <c r="K20" s="33"/>
      <c r="L20" s="33"/>
      <c r="M20" s="33"/>
      <c r="N20" s="35"/>
    </row>
    <row r="21" spans="1:14" s="222" customFormat="1" ht="15.75">
      <c r="A21" s="214"/>
      <c r="B21" s="220"/>
      <c r="C21" s="213"/>
      <c r="D21" s="219" t="s">
        <v>17</v>
      </c>
      <c r="E21" s="213"/>
      <c r="F21" s="213"/>
      <c r="G21" s="213"/>
      <c r="H21" s="213"/>
      <c r="I21" s="213"/>
      <c r="J21" s="213"/>
      <c r="K21" s="213"/>
      <c r="L21" s="213"/>
      <c r="M21" s="213"/>
      <c r="N21" s="221"/>
    </row>
    <row r="22" spans="1:14" ht="18">
      <c r="A22" s="28"/>
      <c r="B22" s="32"/>
      <c r="C22" s="33"/>
      <c r="D22" s="41" t="s">
        <v>749</v>
      </c>
      <c r="E22" s="33"/>
      <c r="F22" s="33"/>
      <c r="G22" s="33"/>
      <c r="H22" s="33"/>
      <c r="I22" s="33"/>
      <c r="J22" s="33"/>
      <c r="K22" s="33"/>
      <c r="L22" s="33"/>
      <c r="M22" s="33"/>
      <c r="N22" s="35"/>
    </row>
    <row r="23" spans="1:14" ht="24" thickBot="1">
      <c r="A23" s="28"/>
      <c r="B23" s="36"/>
      <c r="C23" s="37"/>
      <c r="D23" s="37"/>
      <c r="E23" s="37"/>
      <c r="F23" s="37"/>
      <c r="G23" s="37"/>
      <c r="H23" s="37"/>
      <c r="I23" s="37"/>
      <c r="J23" s="37"/>
      <c r="K23" s="37"/>
      <c r="L23" s="38"/>
      <c r="M23" s="38"/>
      <c r="N23" s="39"/>
    </row>
    <row r="32" spans="1:14">
      <c r="F32" s="1"/>
    </row>
  </sheetData>
  <phoneticPr fontId="1"/>
  <hyperlinks>
    <hyperlink ref="D21" r:id="rId1" display="http://office.microsoft.com/en-us/excel-help/dec2hex-HP005209054.aspx"/>
  </hyperlinks>
  <pageMargins left="0.7" right="0.7" top="0.75" bottom="0.75" header="0.3" footer="0.3"/>
  <pageSetup paperSize="9"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208"/>
  <sheetViews>
    <sheetView showGridLines="0" zoomScaleNormal="100" workbookViewId="0">
      <selection activeCell="R15" sqref="R15"/>
    </sheetView>
  </sheetViews>
  <sheetFormatPr defaultColWidth="9" defaultRowHeight="15" outlineLevelRow="1"/>
  <cols>
    <col min="1" max="16384" width="9" style="9"/>
  </cols>
  <sheetData>
    <row r="1" spans="1:13" s="42" customFormat="1" ht="14.25">
      <c r="A1" s="42" t="s">
        <v>19</v>
      </c>
    </row>
    <row r="2" spans="1:13" s="42" customFormat="1" thickBot="1"/>
    <row r="3" spans="1:13" s="47" customFormat="1" ht="18">
      <c r="B3" s="26"/>
      <c r="C3" s="27"/>
      <c r="D3" s="27"/>
      <c r="E3" s="27"/>
      <c r="F3" s="27"/>
      <c r="G3" s="27"/>
      <c r="H3" s="27"/>
      <c r="I3" s="27"/>
      <c r="J3" s="27"/>
      <c r="K3" s="27"/>
      <c r="L3" s="27"/>
      <c r="M3" s="89"/>
    </row>
    <row r="4" spans="1:13" s="47" customFormat="1" ht="18">
      <c r="B4" s="44"/>
      <c r="C4" s="43" t="s">
        <v>813</v>
      </c>
      <c r="D4" s="43"/>
      <c r="E4" s="43"/>
      <c r="F4" s="43"/>
      <c r="G4" s="43"/>
      <c r="H4" s="43"/>
      <c r="I4" s="43"/>
      <c r="J4" s="43"/>
      <c r="K4" s="43"/>
      <c r="L4" s="43"/>
      <c r="M4" s="46"/>
    </row>
    <row r="5" spans="1:13" s="216" customFormat="1" ht="18">
      <c r="B5" s="44"/>
      <c r="C5" s="248" t="s">
        <v>814</v>
      </c>
      <c r="D5" s="215"/>
      <c r="E5" s="215"/>
      <c r="F5" s="215"/>
      <c r="G5" s="215"/>
      <c r="H5" s="215"/>
      <c r="I5" s="215"/>
      <c r="J5" s="215"/>
      <c r="K5" s="215"/>
      <c r="L5" s="215"/>
      <c r="M5" s="46"/>
    </row>
    <row r="6" spans="1:13" s="216" customFormat="1" ht="18">
      <c r="B6" s="44"/>
      <c r="C6" s="215"/>
      <c r="D6" s="215"/>
      <c r="E6" s="215"/>
      <c r="F6" s="215"/>
      <c r="G6" s="215"/>
      <c r="H6" s="215"/>
      <c r="I6" s="215"/>
      <c r="J6" s="215"/>
      <c r="K6" s="215"/>
      <c r="L6" s="215"/>
      <c r="M6" s="46"/>
    </row>
    <row r="7" spans="1:13" s="47" customFormat="1" ht="18">
      <c r="B7" s="44"/>
      <c r="C7" s="43" t="s">
        <v>750</v>
      </c>
      <c r="D7" s="43"/>
      <c r="E7" s="43"/>
      <c r="F7" s="43"/>
      <c r="G7" s="43"/>
      <c r="H7" s="43"/>
      <c r="I7" s="43"/>
      <c r="J7" s="43"/>
      <c r="K7" s="43"/>
      <c r="L7" s="43"/>
      <c r="M7" s="46"/>
    </row>
    <row r="8" spans="1:13" s="47" customFormat="1" ht="18.75" thickBot="1">
      <c r="B8" s="44"/>
      <c r="C8" s="43"/>
      <c r="D8" s="43"/>
      <c r="E8" s="43"/>
      <c r="F8" s="43"/>
      <c r="G8" s="43"/>
      <c r="H8" s="43"/>
      <c r="I8" s="43"/>
      <c r="J8" s="43"/>
      <c r="K8" s="43"/>
      <c r="L8" s="43"/>
      <c r="M8" s="46"/>
    </row>
    <row r="9" spans="1:13" s="47" customFormat="1" ht="18.75" thickBot="1">
      <c r="B9" s="44"/>
      <c r="C9" s="43"/>
      <c r="D9" s="43" t="s">
        <v>8</v>
      </c>
      <c r="E9" s="43"/>
      <c r="F9" s="225" t="s">
        <v>805</v>
      </c>
      <c r="G9" s="226"/>
      <c r="H9" s="226"/>
      <c r="I9" s="226"/>
      <c r="J9" s="227"/>
      <c r="K9" s="43"/>
      <c r="L9" s="43"/>
      <c r="M9" s="46"/>
    </row>
    <row r="10" spans="1:13" s="47" customFormat="1" ht="18.75" thickBot="1">
      <c r="B10" s="44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6"/>
    </row>
    <row r="11" spans="1:13" s="47" customFormat="1" ht="18.75" thickBot="1">
      <c r="B11" s="44"/>
      <c r="C11" s="43"/>
      <c r="D11" s="43" t="s">
        <v>20</v>
      </c>
      <c r="E11" s="43"/>
      <c r="F11" s="122" t="s">
        <v>759</v>
      </c>
      <c r="G11" s="90"/>
      <c r="H11" s="90"/>
      <c r="I11" s="43"/>
      <c r="J11" s="43"/>
      <c r="K11" s="43"/>
      <c r="L11" s="43"/>
      <c r="M11" s="46"/>
    </row>
    <row r="12" spans="1:13" s="47" customFormat="1" ht="18.75" thickBot="1">
      <c r="B12" s="44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6"/>
    </row>
    <row r="13" spans="1:13" s="47" customFormat="1" ht="18.75" thickBot="1">
      <c r="B13" s="44"/>
      <c r="C13" s="43"/>
      <c r="D13" s="43" t="s">
        <v>21</v>
      </c>
      <c r="E13" s="43"/>
      <c r="F13" s="225"/>
      <c r="G13" s="226"/>
      <c r="H13" s="226"/>
      <c r="I13" s="226"/>
      <c r="J13" s="227"/>
      <c r="K13" s="43"/>
      <c r="L13" s="43"/>
      <c r="M13" s="46"/>
    </row>
    <row r="14" spans="1:13" s="47" customFormat="1" ht="18">
      <c r="B14" s="44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6"/>
    </row>
    <row r="15" spans="1:13" s="47" customFormat="1" ht="18">
      <c r="B15" s="44"/>
      <c r="C15" s="43"/>
      <c r="D15" s="124" t="s">
        <v>751</v>
      </c>
      <c r="E15" s="43"/>
      <c r="F15" s="43"/>
      <c r="G15" s="43"/>
      <c r="H15" s="43"/>
      <c r="I15" s="43"/>
      <c r="J15" s="43"/>
      <c r="K15" s="43"/>
      <c r="L15" s="43"/>
      <c r="M15" s="46"/>
    </row>
    <row r="16" spans="1:13" s="47" customFormat="1" ht="18">
      <c r="B16" s="44"/>
      <c r="C16" s="43"/>
      <c r="D16" s="124" t="s">
        <v>752</v>
      </c>
      <c r="E16" s="43"/>
      <c r="F16" s="43"/>
      <c r="G16" s="43"/>
      <c r="H16" s="43"/>
      <c r="I16" s="43"/>
      <c r="J16" s="43"/>
      <c r="K16" s="43"/>
      <c r="L16" s="43"/>
      <c r="M16" s="46"/>
    </row>
    <row r="17" spans="2:30" s="47" customFormat="1" ht="18">
      <c r="B17" s="44"/>
      <c r="C17" s="43"/>
      <c r="D17" s="124" t="s">
        <v>753</v>
      </c>
      <c r="E17" s="43"/>
      <c r="F17" s="43"/>
      <c r="G17" s="43"/>
      <c r="H17" s="43"/>
      <c r="I17" s="43"/>
      <c r="J17" s="43"/>
      <c r="K17" s="43"/>
      <c r="L17" s="43"/>
      <c r="M17" s="46"/>
    </row>
    <row r="18" spans="2:30" s="47" customFormat="1" ht="18">
      <c r="B18" s="44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6"/>
    </row>
    <row r="19" spans="2:30" s="47" customFormat="1" ht="18">
      <c r="B19" s="44"/>
      <c r="C19" s="43" t="s">
        <v>757</v>
      </c>
      <c r="D19" s="43"/>
      <c r="E19" s="43"/>
      <c r="F19" s="43"/>
      <c r="G19" s="43"/>
      <c r="H19" s="43"/>
      <c r="I19" s="43"/>
      <c r="J19" s="43"/>
      <c r="K19" s="43"/>
      <c r="L19" s="43"/>
      <c r="M19" s="46"/>
    </row>
    <row r="20" spans="2:30" s="47" customFormat="1" ht="18">
      <c r="B20" s="44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6"/>
    </row>
    <row r="21" spans="2:30" s="47" customFormat="1" ht="18">
      <c r="B21" s="44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6"/>
    </row>
    <row r="22" spans="2:30" s="47" customFormat="1" ht="18.75" thickBot="1">
      <c r="B22" s="44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6"/>
    </row>
    <row r="23" spans="2:30" s="47" customFormat="1" ht="18.75" thickBot="1">
      <c r="B23" s="44"/>
      <c r="C23" s="43"/>
      <c r="D23" s="43" t="s">
        <v>36</v>
      </c>
      <c r="E23" s="43"/>
      <c r="F23" s="91" t="s">
        <v>39</v>
      </c>
      <c r="G23" s="43"/>
      <c r="H23" s="43"/>
      <c r="I23" s="43"/>
      <c r="J23" s="43"/>
      <c r="K23" s="43"/>
      <c r="L23" s="43"/>
      <c r="M23" s="46"/>
    </row>
    <row r="24" spans="2:30" s="47" customFormat="1" ht="18">
      <c r="B24" s="44"/>
      <c r="C24" s="43"/>
      <c r="D24" s="45"/>
      <c r="E24" s="45"/>
      <c r="F24" s="45"/>
      <c r="G24" s="43"/>
      <c r="H24" s="45"/>
      <c r="I24" s="45"/>
      <c r="J24" s="45"/>
      <c r="K24" s="43"/>
      <c r="L24" s="43"/>
      <c r="M24" s="46"/>
    </row>
    <row r="25" spans="2:30" s="47" customFormat="1" ht="18">
      <c r="B25" s="44"/>
      <c r="C25" s="43"/>
      <c r="D25" s="125" t="s">
        <v>754</v>
      </c>
      <c r="E25" s="45"/>
      <c r="F25" s="45"/>
      <c r="G25" s="43"/>
      <c r="H25" s="45"/>
      <c r="I25" s="45"/>
      <c r="J25" s="45"/>
      <c r="K25" s="43"/>
      <c r="L25" s="43"/>
      <c r="M25" s="46"/>
    </row>
    <row r="26" spans="2:30" s="47" customFormat="1" ht="18">
      <c r="B26" s="44"/>
      <c r="C26" s="43"/>
      <c r="D26" s="124"/>
      <c r="E26" s="43"/>
      <c r="F26" s="43"/>
      <c r="G26" s="43"/>
      <c r="H26" s="43"/>
      <c r="I26" s="43"/>
      <c r="J26" s="43"/>
      <c r="K26" s="43"/>
      <c r="L26" s="43"/>
      <c r="M26" s="46"/>
    </row>
    <row r="27" spans="2:30" s="47" customFormat="1" ht="18">
      <c r="B27" s="44"/>
      <c r="C27" s="43"/>
      <c r="D27" s="124" t="s">
        <v>755</v>
      </c>
      <c r="E27" s="43"/>
      <c r="F27" s="43"/>
      <c r="G27" s="43"/>
      <c r="H27" s="43"/>
      <c r="I27" s="43"/>
      <c r="J27" s="43"/>
      <c r="K27" s="43"/>
      <c r="L27" s="43"/>
      <c r="M27" s="46"/>
    </row>
    <row r="28" spans="2:30" s="47" customFormat="1" ht="18">
      <c r="B28" s="44"/>
      <c r="C28" s="43"/>
      <c r="D28" s="126" t="s">
        <v>756</v>
      </c>
      <c r="E28" s="43"/>
      <c r="F28" s="43"/>
      <c r="G28" s="43"/>
      <c r="H28" s="43"/>
      <c r="I28" s="43"/>
      <c r="J28" s="43"/>
      <c r="K28" s="43"/>
      <c r="L28" s="43"/>
      <c r="M28" s="46"/>
    </row>
    <row r="29" spans="2:30" s="47" customFormat="1" ht="18">
      <c r="B29" s="44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6"/>
    </row>
    <row r="30" spans="2:30" s="47" customFormat="1" ht="18.75" thickBot="1">
      <c r="B30" s="92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4"/>
    </row>
    <row r="31" spans="2:30" s="19" customFormat="1" ht="18.75"/>
    <row r="32" spans="2:30" s="19" customFormat="1" ht="19.5" thickBot="1"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</row>
    <row r="33" spans="2:30" s="19" customFormat="1" ht="18.75">
      <c r="B33" s="21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3"/>
      <c r="S33" s="24"/>
      <c r="T33" s="25"/>
      <c r="U33" s="25"/>
      <c r="V33" s="25"/>
      <c r="W33" s="25"/>
      <c r="X33" s="25"/>
      <c r="Y33" s="25"/>
      <c r="Z33" s="25"/>
      <c r="AA33" s="24"/>
      <c r="AB33" s="20"/>
      <c r="AC33" s="20"/>
      <c r="AD33" s="20"/>
    </row>
    <row r="34" spans="2:30" s="19" customFormat="1" ht="18.75">
      <c r="B34" s="18" t="s">
        <v>758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6"/>
      <c r="S34" s="24"/>
      <c r="T34" s="25"/>
      <c r="U34" s="25"/>
      <c r="V34" s="25"/>
      <c r="W34" s="25"/>
      <c r="X34" s="25"/>
      <c r="Y34" s="25"/>
      <c r="Z34" s="25"/>
      <c r="AA34" s="24"/>
      <c r="AB34" s="20"/>
      <c r="AC34" s="20"/>
      <c r="AD34" s="20"/>
    </row>
    <row r="35" spans="2:30" s="2" customFormat="1"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  <c r="S35" s="13"/>
      <c r="T35" s="6"/>
      <c r="U35" s="6"/>
      <c r="V35" s="6"/>
      <c r="W35" s="6"/>
      <c r="X35" s="6"/>
      <c r="Y35" s="6"/>
      <c r="Z35" s="6"/>
      <c r="AA35" s="13"/>
      <c r="AB35" s="14"/>
      <c r="AC35" s="14"/>
      <c r="AD35" s="14"/>
    </row>
    <row r="36" spans="2:30" s="2" customFormat="1" ht="15.75" thickBot="1">
      <c r="B36" s="3"/>
      <c r="C36" s="4"/>
      <c r="D36" s="4"/>
      <c r="E36" s="4"/>
      <c r="F36" s="4"/>
      <c r="G36" s="4"/>
      <c r="H36" s="4"/>
      <c r="I36" s="4"/>
      <c r="J36" s="4"/>
      <c r="K36" s="4"/>
      <c r="L36" s="8" t="s">
        <v>94</v>
      </c>
      <c r="M36" s="4"/>
      <c r="N36" s="4"/>
      <c r="O36" s="4"/>
      <c r="P36" s="4"/>
      <c r="Q36" s="4"/>
      <c r="R36" s="5"/>
      <c r="S36" s="13"/>
      <c r="T36" s="6" t="str">
        <f>L36&amp;$C$197</f>
        <v>#define RF430_APP_DATA {</v>
      </c>
      <c r="U36" s="6"/>
      <c r="V36" s="6"/>
      <c r="W36" s="6"/>
      <c r="X36" s="6"/>
      <c r="Y36" s="6"/>
      <c r="Z36" s="6"/>
      <c r="AA36" s="13"/>
      <c r="AB36" s="14"/>
      <c r="AC36" s="14"/>
      <c r="AD36" s="14"/>
    </row>
    <row r="37" spans="2:30" s="42" customFormat="1" thickBot="1">
      <c r="B37" s="54" t="s">
        <v>31</v>
      </c>
      <c r="C37" s="55"/>
      <c r="D37" s="55"/>
      <c r="E37" s="55"/>
      <c r="F37" s="55"/>
      <c r="G37" s="55"/>
      <c r="H37" s="55"/>
      <c r="I37" s="55"/>
      <c r="J37" s="56"/>
      <c r="K37" s="49"/>
      <c r="L37" s="49" t="s">
        <v>30</v>
      </c>
      <c r="M37" s="49"/>
      <c r="N37" s="49"/>
      <c r="O37" s="49"/>
      <c r="P37" s="49"/>
      <c r="Q37" s="49"/>
      <c r="R37" s="50"/>
      <c r="S37" s="51"/>
      <c r="T37" s="52" t="str">
        <f>C37&amp;D37&amp;E37&amp;F37&amp;G37&amp;H37&amp;I37&amp;J37&amp;"    "&amp;L37&amp;$C$197</f>
        <v xml:space="preserve">    /*NDEF Tag Application */</v>
      </c>
      <c r="U37" s="52"/>
      <c r="V37" s="52"/>
      <c r="W37" s="52"/>
      <c r="X37" s="52"/>
      <c r="Y37" s="52"/>
      <c r="Z37" s="52"/>
      <c r="AA37" s="51"/>
      <c r="AB37" s="53"/>
      <c r="AC37" s="53"/>
      <c r="AD37" s="53"/>
    </row>
    <row r="38" spans="2:30" s="42" customFormat="1" thickBot="1">
      <c r="B38" s="57"/>
      <c r="C38" s="58" t="s">
        <v>98</v>
      </c>
      <c r="D38" s="59" t="s">
        <v>99</v>
      </c>
      <c r="E38" s="59" t="s">
        <v>100</v>
      </c>
      <c r="F38" s="59" t="s">
        <v>100</v>
      </c>
      <c r="G38" s="59" t="s">
        <v>101</v>
      </c>
      <c r="H38" s="59" t="s">
        <v>102</v>
      </c>
      <c r="I38" s="60" t="s">
        <v>102</v>
      </c>
      <c r="J38" s="61"/>
      <c r="K38" s="49"/>
      <c r="M38" s="49"/>
      <c r="N38" s="49"/>
      <c r="O38" s="49"/>
      <c r="P38" s="49"/>
      <c r="Q38" s="49"/>
      <c r="R38" s="50"/>
      <c r="S38" s="51"/>
      <c r="T38" s="52" t="str">
        <f>"    "&amp;C38&amp;D38&amp;E38&amp;F38&amp;G38&amp;H38&amp;I38&amp;"    "&amp;L38&amp;$C$197</f>
        <v xml:space="preserve">    0xD2, 0x76, 0x00, 0x00, 0x85, 0x01, 0x01,     </v>
      </c>
      <c r="U38" s="52"/>
      <c r="V38" s="52"/>
      <c r="W38" s="52"/>
      <c r="X38" s="52"/>
      <c r="Y38" s="52"/>
      <c r="Z38" s="52"/>
      <c r="AA38" s="51"/>
      <c r="AB38" s="53"/>
      <c r="AC38" s="53"/>
      <c r="AD38" s="53"/>
    </row>
    <row r="39" spans="2:30" s="42" customFormat="1" thickBot="1">
      <c r="B39" s="48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50"/>
      <c r="S39" s="51"/>
      <c r="T39" s="52" t="str">
        <f>"    "&amp;C39&amp;D39&amp;E39&amp;F39&amp;G39&amp;H39&amp;I39&amp;J39&amp;"    "&amp;L39&amp;$C$197</f>
        <v xml:space="preserve">        </v>
      </c>
      <c r="U39" s="52"/>
      <c r="V39" s="52"/>
      <c r="W39" s="52"/>
      <c r="X39" s="52"/>
      <c r="Y39" s="52"/>
      <c r="Z39" s="52"/>
      <c r="AA39" s="51"/>
      <c r="AB39" s="53"/>
      <c r="AC39" s="53"/>
      <c r="AD39" s="53"/>
    </row>
    <row r="40" spans="2:30" s="42" customFormat="1" thickBot="1">
      <c r="B40" s="54" t="s">
        <v>33</v>
      </c>
      <c r="C40" s="55"/>
      <c r="D40" s="55"/>
      <c r="E40" s="55"/>
      <c r="F40" s="55"/>
      <c r="G40" s="55"/>
      <c r="H40" s="55"/>
      <c r="I40" s="55"/>
      <c r="J40" s="56"/>
      <c r="K40" s="49"/>
      <c r="L40" s="49"/>
      <c r="M40" s="49"/>
      <c r="N40" s="49"/>
      <c r="O40" s="49"/>
      <c r="P40" s="49"/>
      <c r="Q40" s="49"/>
      <c r="R40" s="50"/>
      <c r="S40" s="51"/>
      <c r="T40" s="52"/>
      <c r="U40" s="52"/>
      <c r="V40" s="52"/>
      <c r="W40" s="52"/>
      <c r="X40" s="52"/>
      <c r="Y40" s="52"/>
      <c r="Z40" s="52"/>
      <c r="AA40" s="51"/>
      <c r="AB40" s="53"/>
      <c r="AC40" s="53"/>
      <c r="AD40" s="53"/>
    </row>
    <row r="41" spans="2:30" s="42" customFormat="1" thickBot="1">
      <c r="B41" s="57"/>
      <c r="C41" s="58" t="s">
        <v>103</v>
      </c>
      <c r="D41" s="60" t="s">
        <v>104</v>
      </c>
      <c r="E41" s="62"/>
      <c r="F41" s="62"/>
      <c r="G41" s="62"/>
      <c r="H41" s="62"/>
      <c r="I41" s="62"/>
      <c r="J41" s="61"/>
      <c r="K41" s="49"/>
      <c r="L41" s="49" t="s">
        <v>9</v>
      </c>
      <c r="M41" s="49"/>
      <c r="N41" s="49"/>
      <c r="O41" s="49"/>
      <c r="P41" s="49"/>
      <c r="Q41" s="49"/>
      <c r="R41" s="50"/>
      <c r="S41" s="51"/>
      <c r="T41" s="52" t="str">
        <f>"    "&amp;C41&amp;D41&amp;E41&amp;F41&amp;G41&amp;H41&amp;I41&amp;J41&amp;"    "&amp;L41&amp;$C$197</f>
        <v xml:space="preserve">    0xE1, 0x03,     /*Capability Container ID*/ </v>
      </c>
      <c r="U41" s="52"/>
      <c r="V41" s="52"/>
      <c r="W41" s="52"/>
      <c r="X41" s="52"/>
      <c r="Y41" s="52"/>
      <c r="Z41" s="52"/>
      <c r="AA41" s="51"/>
      <c r="AB41" s="53"/>
      <c r="AC41" s="53"/>
      <c r="AD41" s="53"/>
    </row>
    <row r="42" spans="2:30" s="42" customFormat="1" thickBot="1">
      <c r="B42" s="48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50"/>
      <c r="S42" s="51"/>
      <c r="T42" s="52" t="str">
        <f>"    "&amp;"    "&amp;$C$197</f>
        <v xml:space="preserve">        </v>
      </c>
      <c r="U42" s="52"/>
      <c r="V42" s="52"/>
      <c r="W42" s="52"/>
      <c r="X42" s="52"/>
      <c r="Y42" s="52"/>
      <c r="Z42" s="52"/>
      <c r="AA42" s="51"/>
      <c r="AB42" s="53"/>
      <c r="AC42" s="53"/>
      <c r="AD42" s="53"/>
    </row>
    <row r="43" spans="2:30" s="42" customFormat="1" thickBot="1">
      <c r="B43" s="54" t="s">
        <v>32</v>
      </c>
      <c r="C43" s="55"/>
      <c r="D43" s="55"/>
      <c r="E43" s="55"/>
      <c r="F43" s="55"/>
      <c r="G43" s="55"/>
      <c r="H43" s="55"/>
      <c r="I43" s="55"/>
      <c r="J43" s="56"/>
      <c r="K43" s="49"/>
      <c r="L43" s="49" t="s">
        <v>87</v>
      </c>
      <c r="M43" s="49"/>
      <c r="N43" s="49"/>
      <c r="O43" s="49"/>
      <c r="P43" s="49"/>
      <c r="Q43" s="49"/>
      <c r="R43" s="50"/>
      <c r="S43" s="51"/>
      <c r="T43" s="52" t="str">
        <f>C43&amp;D43&amp;E43&amp;F43&amp;G43&amp;H43&amp;I43&amp;J43&amp;"    "&amp;L43&amp;$C$197</f>
        <v xml:space="preserve">    /* CC file start */</v>
      </c>
      <c r="U43" s="52"/>
      <c r="V43" s="52"/>
      <c r="W43" s="52"/>
      <c r="X43" s="52"/>
      <c r="Y43" s="52"/>
      <c r="Z43" s="52"/>
      <c r="AA43" s="51"/>
      <c r="AB43" s="53"/>
      <c r="AC43" s="53"/>
      <c r="AD43" s="53"/>
    </row>
    <row r="44" spans="2:30" s="42" customFormat="1" thickBot="1">
      <c r="B44" s="48"/>
      <c r="C44" s="58" t="s">
        <v>105</v>
      </c>
      <c r="D44" s="60" t="s">
        <v>106</v>
      </c>
      <c r="E44" s="49"/>
      <c r="F44" s="49"/>
      <c r="G44" s="49"/>
      <c r="H44" s="49"/>
      <c r="I44" s="49"/>
      <c r="J44" s="50"/>
      <c r="K44" s="49"/>
      <c r="L44" s="49" t="s">
        <v>35</v>
      </c>
      <c r="M44" s="49"/>
      <c r="N44" s="49"/>
      <c r="O44" s="49"/>
      <c r="P44" s="49"/>
      <c r="Q44" s="49"/>
      <c r="R44" s="50"/>
      <c r="S44" s="51"/>
      <c r="T44" s="52" t="str">
        <f t="shared" ref="T44:T53" si="0">"    "&amp;C44&amp;D44&amp;E44&amp;F44&amp;G44&amp;H44&amp;I44&amp;J44&amp;"    "&amp;L44&amp;$C$197</f>
        <v xml:space="preserve">    0x00, 0x0F,     /* CCLEN 15bytes fix*/</v>
      </c>
      <c r="U44" s="52"/>
      <c r="V44" s="52"/>
      <c r="W44" s="52"/>
      <c r="X44" s="52"/>
      <c r="Y44" s="52"/>
      <c r="Z44" s="52"/>
      <c r="AA44" s="51"/>
      <c r="AB44" s="53"/>
      <c r="AC44" s="53"/>
      <c r="AD44" s="53"/>
    </row>
    <row r="45" spans="2:30" s="42" customFormat="1" thickBot="1">
      <c r="B45" s="48"/>
      <c r="C45" s="63" t="s">
        <v>107</v>
      </c>
      <c r="D45" s="49"/>
      <c r="E45" s="49"/>
      <c r="F45" s="49"/>
      <c r="G45" s="49"/>
      <c r="H45" s="49"/>
      <c r="I45" s="49"/>
      <c r="J45" s="50"/>
      <c r="K45" s="49"/>
      <c r="L45" s="49" t="s">
        <v>10</v>
      </c>
      <c r="M45" s="49"/>
      <c r="N45" s="49"/>
      <c r="O45" s="49"/>
      <c r="P45" s="49"/>
      <c r="Q45" s="49"/>
      <c r="R45" s="50"/>
      <c r="S45" s="51"/>
      <c r="T45" s="52" t="str">
        <f t="shared" si="0"/>
        <v xml:space="preserve">    0x20,     /* Mapping version 2.0 */</v>
      </c>
      <c r="U45" s="52"/>
      <c r="V45" s="52"/>
      <c r="W45" s="52"/>
      <c r="X45" s="52"/>
      <c r="Y45" s="52"/>
      <c r="Z45" s="52"/>
      <c r="AA45" s="51"/>
      <c r="AB45" s="53"/>
      <c r="AC45" s="53"/>
      <c r="AD45" s="53"/>
    </row>
    <row r="46" spans="2:30" s="42" customFormat="1" thickBot="1">
      <c r="B46" s="48"/>
      <c r="C46" s="64" t="s">
        <v>105</v>
      </c>
      <c r="D46" s="65" t="s">
        <v>809</v>
      </c>
      <c r="E46" s="49"/>
      <c r="F46" s="49"/>
      <c r="G46" s="49"/>
      <c r="H46" s="49"/>
      <c r="I46" s="49"/>
      <c r="J46" s="50"/>
      <c r="K46" s="49"/>
      <c r="L46" s="49" t="s">
        <v>11</v>
      </c>
      <c r="M46" s="49"/>
      <c r="N46" s="49"/>
      <c r="O46" s="49"/>
      <c r="P46" s="49"/>
      <c r="Q46" s="49"/>
      <c r="R46" s="50"/>
      <c r="S46" s="51"/>
      <c r="T46" s="52" t="str">
        <f t="shared" si="0"/>
        <v xml:space="preserve">    0x00, 0xF9,     /* MLe (49 bytes); Maximum R-APDU data size */</v>
      </c>
      <c r="U46" s="52"/>
      <c r="V46" s="52"/>
      <c r="W46" s="52"/>
      <c r="X46" s="52"/>
      <c r="Y46" s="52"/>
      <c r="Z46" s="52"/>
      <c r="AA46" s="51"/>
      <c r="AB46" s="53"/>
      <c r="AC46" s="53"/>
      <c r="AD46" s="53"/>
    </row>
    <row r="47" spans="2:30" s="42" customFormat="1" thickBot="1">
      <c r="B47" s="48"/>
      <c r="C47" s="58" t="s">
        <v>105</v>
      </c>
      <c r="D47" s="60" t="s">
        <v>810</v>
      </c>
      <c r="E47" s="49"/>
      <c r="F47" s="49"/>
      <c r="G47" s="49"/>
      <c r="H47" s="49"/>
      <c r="I47" s="49"/>
      <c r="J47" s="50"/>
      <c r="K47" s="49"/>
      <c r="L47" s="49" t="s">
        <v>46</v>
      </c>
      <c r="M47" s="49"/>
      <c r="N47" s="49"/>
      <c r="O47" s="49"/>
      <c r="P47" s="49"/>
      <c r="Q47" s="49"/>
      <c r="R47" s="50"/>
      <c r="S47" s="51"/>
      <c r="T47" s="52" t="str">
        <f t="shared" si="0"/>
        <v xml:space="preserve">    0x00, 0xF6,     /* MLc (52 bytes); Maximum C-APDU data size */</v>
      </c>
      <c r="U47" s="52"/>
      <c r="V47" s="52"/>
      <c r="W47" s="52"/>
      <c r="X47" s="52"/>
      <c r="Y47" s="52"/>
      <c r="Z47" s="52"/>
      <c r="AA47" s="51"/>
      <c r="AB47" s="53"/>
      <c r="AC47" s="53"/>
      <c r="AD47" s="53"/>
    </row>
    <row r="48" spans="2:30" s="42" customFormat="1" thickBot="1">
      <c r="B48" s="48" t="s">
        <v>49</v>
      </c>
      <c r="C48" s="66" t="s">
        <v>108</v>
      </c>
      <c r="D48" s="49"/>
      <c r="E48" s="49"/>
      <c r="F48" s="49"/>
      <c r="G48" s="49"/>
      <c r="H48" s="49"/>
      <c r="I48" s="49"/>
      <c r="J48" s="50"/>
      <c r="K48" s="49"/>
      <c r="L48" s="49" t="s">
        <v>12</v>
      </c>
      <c r="M48" s="49"/>
      <c r="N48" s="49"/>
      <c r="O48" s="49"/>
      <c r="P48" s="49"/>
      <c r="Q48" s="49"/>
      <c r="R48" s="50"/>
      <c r="S48" s="51"/>
      <c r="T48" s="52" t="str">
        <f t="shared" si="0"/>
        <v xml:space="preserve">    0x04,     /* Tag, File Control TLV (4 = NDEF file) */</v>
      </c>
      <c r="U48" s="52"/>
      <c r="V48" s="52"/>
      <c r="W48" s="52"/>
      <c r="X48" s="52"/>
      <c r="Y48" s="52"/>
      <c r="Z48" s="52"/>
      <c r="AA48" s="51"/>
      <c r="AB48" s="53"/>
      <c r="AC48" s="53"/>
      <c r="AD48" s="53"/>
    </row>
    <row r="49" spans="2:30" s="42" customFormat="1" thickBot="1">
      <c r="B49" s="48" t="s">
        <v>50</v>
      </c>
      <c r="C49" s="66" t="s">
        <v>109</v>
      </c>
      <c r="D49" s="57"/>
      <c r="E49" s="49"/>
      <c r="F49" s="49"/>
      <c r="G49" s="49"/>
      <c r="H49" s="49"/>
      <c r="I49" s="49"/>
      <c r="J49" s="50"/>
      <c r="K49" s="49"/>
      <c r="L49" s="49" t="s">
        <v>13</v>
      </c>
      <c r="M49" s="49"/>
      <c r="N49" s="49"/>
      <c r="O49" s="49"/>
      <c r="P49" s="49"/>
      <c r="Q49" s="49"/>
      <c r="R49" s="50"/>
      <c r="S49" s="51"/>
      <c r="T49" s="52" t="str">
        <f t="shared" si="0"/>
        <v xml:space="preserve">    0x06,     /* Length, File Control TLV (6 = 6 bytes of data for this tag) */</v>
      </c>
      <c r="U49" s="52"/>
      <c r="V49" s="52"/>
      <c r="W49" s="52"/>
      <c r="X49" s="52"/>
      <c r="Y49" s="52"/>
      <c r="Z49" s="52"/>
      <c r="AA49" s="51"/>
      <c r="AB49" s="53"/>
      <c r="AC49" s="53"/>
      <c r="AD49" s="53"/>
    </row>
    <row r="50" spans="2:30" s="42" customFormat="1" ht="14.25">
      <c r="B50" s="67" t="s">
        <v>51</v>
      </c>
      <c r="C50" s="68" t="s">
        <v>103</v>
      </c>
      <c r="D50" s="69" t="s">
        <v>110</v>
      </c>
      <c r="E50" s="49"/>
      <c r="F50" s="49"/>
      <c r="G50" s="49"/>
      <c r="H50" s="49"/>
      <c r="I50" s="49"/>
      <c r="J50" s="50"/>
      <c r="K50" s="49"/>
      <c r="L50" s="49" t="s">
        <v>47</v>
      </c>
      <c r="M50" s="49"/>
      <c r="N50" s="49"/>
      <c r="O50" s="49"/>
      <c r="P50" s="49"/>
      <c r="Q50" s="49"/>
      <c r="R50" s="50"/>
      <c r="S50" s="51"/>
      <c r="T50" s="52" t="str">
        <f t="shared" si="0"/>
        <v xml:space="preserve">    0xE1, 0x04,     /* Type4 Tag File Identifier */</v>
      </c>
      <c r="U50" s="52"/>
      <c r="V50" s="52"/>
      <c r="W50" s="52"/>
      <c r="X50" s="52"/>
      <c r="Y50" s="52"/>
      <c r="Z50" s="52"/>
      <c r="AA50" s="51"/>
      <c r="AB50" s="53"/>
      <c r="AC50" s="53"/>
      <c r="AD50" s="53"/>
    </row>
    <row r="51" spans="2:30" s="42" customFormat="1" thickBot="1">
      <c r="B51" s="67"/>
      <c r="C51" s="70" t="s">
        <v>111</v>
      </c>
      <c r="D51" s="71" t="s">
        <v>112</v>
      </c>
      <c r="E51" s="49"/>
      <c r="F51" s="49"/>
      <c r="G51" s="49"/>
      <c r="H51" s="49"/>
      <c r="I51" s="49"/>
      <c r="J51" s="50"/>
      <c r="K51" s="49"/>
      <c r="L51" s="49" t="s">
        <v>48</v>
      </c>
      <c r="M51" s="49"/>
      <c r="N51" s="49"/>
      <c r="O51" s="49"/>
      <c r="P51" s="49"/>
      <c r="Q51" s="49"/>
      <c r="R51" s="50"/>
      <c r="S51" s="51"/>
      <c r="T51" s="52" t="str">
        <f t="shared" si="0"/>
        <v xml:space="preserve">    0x0B, 0xDF,     /* Max NDEF size (3037 bytes of RF430CL330 useable memory) */</v>
      </c>
      <c r="U51" s="52"/>
      <c r="V51" s="52"/>
      <c r="W51" s="52"/>
      <c r="X51" s="52"/>
      <c r="Y51" s="52"/>
      <c r="Z51" s="52"/>
      <c r="AA51" s="51"/>
      <c r="AB51" s="53"/>
      <c r="AC51" s="53"/>
      <c r="AD51" s="53"/>
    </row>
    <row r="52" spans="2:30" s="42" customFormat="1" ht="14.25">
      <c r="B52" s="67"/>
      <c r="C52" s="72" t="s">
        <v>113</v>
      </c>
      <c r="D52" s="55"/>
      <c r="E52" s="49"/>
      <c r="F52" s="49"/>
      <c r="G52" s="49"/>
      <c r="H52" s="49"/>
      <c r="I52" s="49"/>
      <c r="J52" s="50"/>
      <c r="K52" s="49"/>
      <c r="L52" s="49" t="s">
        <v>14</v>
      </c>
      <c r="M52" s="49"/>
      <c r="N52" s="49"/>
      <c r="O52" s="49"/>
      <c r="P52" s="49"/>
      <c r="Q52" s="49"/>
      <c r="R52" s="50"/>
      <c r="S52" s="51"/>
      <c r="T52" s="52" t="str">
        <f t="shared" si="0"/>
        <v xml:space="preserve">    0x00,     /* NDEF file read access condition, read access without any security */</v>
      </c>
      <c r="U52" s="52"/>
      <c r="V52" s="52"/>
      <c r="W52" s="52"/>
      <c r="X52" s="52"/>
      <c r="Y52" s="52"/>
      <c r="Z52" s="52"/>
      <c r="AA52" s="51"/>
      <c r="AB52" s="53"/>
      <c r="AC52" s="53"/>
      <c r="AD52" s="53"/>
    </row>
    <row r="53" spans="2:30" s="42" customFormat="1" thickBot="1">
      <c r="B53" s="73"/>
      <c r="C53" s="74" t="s">
        <v>114</v>
      </c>
      <c r="D53" s="62"/>
      <c r="E53" s="62"/>
      <c r="F53" s="62"/>
      <c r="G53" s="62"/>
      <c r="H53" s="62"/>
      <c r="I53" s="62"/>
      <c r="J53" s="61"/>
      <c r="K53" s="49"/>
      <c r="L53" s="49" t="s">
        <v>15</v>
      </c>
      <c r="M53" s="49"/>
      <c r="N53" s="49"/>
      <c r="O53" s="49"/>
      <c r="P53" s="49"/>
      <c r="Q53" s="49"/>
      <c r="R53" s="50"/>
      <c r="S53" s="51"/>
      <c r="T53" s="52" t="str">
        <f t="shared" si="0"/>
        <v xml:space="preserve">    0x00,     /* NDEF file write access condition; write access without any security */</v>
      </c>
      <c r="U53" s="52"/>
      <c r="V53" s="52"/>
      <c r="W53" s="52"/>
      <c r="X53" s="52"/>
      <c r="Y53" s="52"/>
      <c r="Z53" s="52"/>
      <c r="AA53" s="51"/>
      <c r="AB53" s="53"/>
      <c r="AC53" s="53"/>
      <c r="AD53" s="53"/>
    </row>
    <row r="54" spans="2:30" s="42" customFormat="1" thickBot="1">
      <c r="B54" s="48"/>
      <c r="C54" s="49"/>
      <c r="D54" s="49"/>
      <c r="E54" s="49"/>
      <c r="F54" s="49"/>
      <c r="G54" s="49"/>
      <c r="H54" s="49"/>
      <c r="I54" s="49"/>
      <c r="J54" s="49"/>
      <c r="K54" s="49"/>
      <c r="L54" s="49" t="s">
        <v>86</v>
      </c>
      <c r="M54" s="49"/>
      <c r="N54" s="49"/>
      <c r="O54" s="49"/>
      <c r="P54" s="49"/>
      <c r="Q54" s="49"/>
      <c r="R54" s="50"/>
      <c r="S54" s="51"/>
      <c r="T54" s="52" t="str">
        <f>C54&amp;D54&amp;E54&amp;F54&amp;G54&amp;H54&amp;I54&amp;J54&amp;"    "&amp;L54&amp;$C$197</f>
        <v xml:space="preserve">    /* CC file end */</v>
      </c>
      <c r="U54" s="52"/>
      <c r="V54" s="52"/>
      <c r="W54" s="52"/>
      <c r="X54" s="52"/>
      <c r="Y54" s="52"/>
      <c r="Z54" s="52"/>
      <c r="AA54" s="51"/>
      <c r="AB54" s="53"/>
      <c r="AC54" s="53"/>
      <c r="AD54" s="53"/>
    </row>
    <row r="55" spans="2:30" s="42" customFormat="1" thickBot="1">
      <c r="B55" s="54" t="s">
        <v>53</v>
      </c>
      <c r="C55" s="55"/>
      <c r="D55" s="55"/>
      <c r="E55" s="55"/>
      <c r="F55" s="55"/>
      <c r="G55" s="55"/>
      <c r="H55" s="55"/>
      <c r="I55" s="55"/>
      <c r="J55" s="56"/>
      <c r="K55" s="49"/>
      <c r="L55" s="49"/>
      <c r="M55" s="49"/>
      <c r="N55" s="49"/>
      <c r="O55" s="49"/>
      <c r="P55" s="49"/>
      <c r="Q55" s="49"/>
      <c r="R55" s="50"/>
      <c r="S55" s="51"/>
      <c r="T55" s="52" t="str">
        <f>"    "&amp;"    "&amp;$C$197</f>
        <v xml:space="preserve">        </v>
      </c>
      <c r="U55" s="52"/>
      <c r="V55" s="52"/>
      <c r="W55" s="52"/>
      <c r="X55" s="52"/>
      <c r="Y55" s="52"/>
      <c r="Z55" s="52"/>
      <c r="AA55" s="51"/>
      <c r="AB55" s="53"/>
      <c r="AC55" s="53"/>
      <c r="AD55" s="53"/>
    </row>
    <row r="56" spans="2:30" s="42" customFormat="1" thickBot="1">
      <c r="B56" s="57"/>
      <c r="C56" s="66" t="s">
        <v>103</v>
      </c>
      <c r="D56" s="66" t="s">
        <v>110</v>
      </c>
      <c r="E56" s="62"/>
      <c r="F56" s="62"/>
      <c r="G56" s="62"/>
      <c r="H56" s="62"/>
      <c r="I56" s="62"/>
      <c r="J56" s="61"/>
      <c r="K56" s="49"/>
      <c r="L56" s="49" t="s">
        <v>16</v>
      </c>
      <c r="M56" s="49"/>
      <c r="N56" s="49"/>
      <c r="O56" s="49"/>
      <c r="P56" s="49"/>
      <c r="Q56" s="49"/>
      <c r="R56" s="50"/>
      <c r="S56" s="51"/>
      <c r="T56" s="52" t="str">
        <f>"    "&amp;C56&amp;D56&amp;E56&amp;F56&amp;G56&amp;H56&amp;I56&amp;J56&amp;"    "&amp;L56&amp;$C$197</f>
        <v xml:space="preserve">    0xE1, 0x04,     /* NDEF File ID */ </v>
      </c>
      <c r="U56" s="52"/>
      <c r="V56" s="52"/>
      <c r="W56" s="52"/>
      <c r="X56" s="52"/>
      <c r="Y56" s="52"/>
      <c r="Z56" s="52"/>
      <c r="AA56" s="51"/>
      <c r="AB56" s="53"/>
      <c r="AC56" s="53"/>
      <c r="AD56" s="53"/>
    </row>
    <row r="57" spans="2:30" s="42" customFormat="1" thickBot="1">
      <c r="B57" s="48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50"/>
      <c r="S57" s="51"/>
      <c r="T57" s="52" t="str">
        <f>"    "&amp;"    "&amp;$C$197</f>
        <v xml:space="preserve">        </v>
      </c>
      <c r="U57" s="52"/>
      <c r="V57" s="52"/>
      <c r="W57" s="52"/>
      <c r="X57" s="52"/>
      <c r="Y57" s="52"/>
      <c r="Z57" s="52"/>
      <c r="AA57" s="51"/>
      <c r="AB57" s="53"/>
      <c r="AC57" s="53"/>
      <c r="AD57" s="53"/>
    </row>
    <row r="58" spans="2:30" s="42" customFormat="1" thickBot="1">
      <c r="B58" s="54" t="s">
        <v>54</v>
      </c>
      <c r="C58" s="55"/>
      <c r="D58" s="55"/>
      <c r="E58" s="55"/>
      <c r="F58" s="55"/>
      <c r="G58" s="55"/>
      <c r="H58" s="55"/>
      <c r="I58" s="55"/>
      <c r="J58" s="56"/>
      <c r="K58" s="49"/>
      <c r="L58" s="49"/>
      <c r="M58" s="49"/>
      <c r="N58" s="49"/>
      <c r="O58" s="49"/>
      <c r="P58" s="49"/>
      <c r="Q58" s="49"/>
      <c r="R58" s="50"/>
      <c r="S58" s="51"/>
      <c r="T58" s="52"/>
      <c r="U58" s="52"/>
      <c r="V58" s="52"/>
      <c r="W58" s="52"/>
      <c r="X58" s="52"/>
      <c r="Y58" s="52"/>
      <c r="Z58" s="52"/>
      <c r="AA58" s="51"/>
      <c r="AB58" s="53"/>
      <c r="AC58" s="53"/>
      <c r="AD58" s="53"/>
    </row>
    <row r="59" spans="2:30" s="42" customFormat="1" thickBot="1">
      <c r="B59" s="57"/>
      <c r="C59" s="58" t="s">
        <v>100</v>
      </c>
      <c r="D59" s="60" t="str">
        <f>L194</f>
        <v>0x17,</v>
      </c>
      <c r="E59" s="62"/>
      <c r="F59" s="62"/>
      <c r="G59" s="62"/>
      <c r="H59" s="62"/>
      <c r="I59" s="62"/>
      <c r="J59" s="61"/>
      <c r="K59" s="49"/>
      <c r="L59" s="49" t="str">
        <f>"/* NDEF Length "&amp;F194&amp;"bytes */"</f>
        <v>/* NDEF Length 23bytes */</v>
      </c>
      <c r="M59" s="49"/>
      <c r="N59" s="49"/>
      <c r="O59" s="49"/>
      <c r="P59" s="49"/>
      <c r="Q59" s="49"/>
      <c r="R59" s="50"/>
      <c r="S59" s="51"/>
      <c r="T59" s="52" t="str">
        <f>"    "&amp;C59&amp;D59&amp;E59&amp;F59&amp;G59&amp;H59&amp;I59&amp;J59&amp;"    "&amp;L59&amp;$C$197</f>
        <v xml:space="preserve">    0x00, 0x17,    /* NDEF Length 23bytes */</v>
      </c>
      <c r="U59" s="52"/>
      <c r="V59" s="52"/>
      <c r="W59" s="52"/>
      <c r="X59" s="52"/>
      <c r="Y59" s="52"/>
      <c r="Z59" s="52"/>
      <c r="AA59" s="51"/>
      <c r="AB59" s="53"/>
      <c r="AC59" s="53"/>
      <c r="AD59" s="53"/>
    </row>
    <row r="60" spans="2:30" s="42" customFormat="1" thickBot="1">
      <c r="B60" s="48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50"/>
      <c r="S60" s="51"/>
      <c r="T60" s="52" t="str">
        <f>"    "&amp;"    "&amp;$C$197</f>
        <v xml:space="preserve">        </v>
      </c>
      <c r="U60" s="52"/>
      <c r="V60" s="52"/>
      <c r="W60" s="52"/>
      <c r="X60" s="52"/>
      <c r="Y60" s="52"/>
      <c r="Z60" s="52"/>
      <c r="AA60" s="51"/>
      <c r="AB60" s="53"/>
      <c r="AC60" s="53"/>
      <c r="AD60" s="53"/>
    </row>
    <row r="61" spans="2:30" s="42" customFormat="1" thickBot="1">
      <c r="B61" s="54" t="s">
        <v>52</v>
      </c>
      <c r="C61" s="55"/>
      <c r="D61" s="55"/>
      <c r="E61" s="55"/>
      <c r="F61" s="55"/>
      <c r="G61" s="55"/>
      <c r="H61" s="55"/>
      <c r="I61" s="55"/>
      <c r="J61" s="56"/>
      <c r="K61" s="49"/>
      <c r="L61" s="49" t="s">
        <v>68</v>
      </c>
      <c r="M61" s="49"/>
      <c r="N61" s="49"/>
      <c r="O61" s="49"/>
      <c r="P61" s="49"/>
      <c r="Q61" s="49"/>
      <c r="R61" s="50"/>
      <c r="S61" s="51"/>
      <c r="T61" s="52" t="str">
        <f>C61&amp;D61&amp;E61&amp;F61&amp;G61&amp;H61&amp;I61&amp;J61&amp;"    "&amp;L61&amp;$C$197</f>
        <v xml:space="preserve">    /* NDEF start */</v>
      </c>
      <c r="U61" s="52"/>
      <c r="V61" s="52"/>
      <c r="W61" s="52"/>
      <c r="X61" s="52"/>
      <c r="Y61" s="52"/>
      <c r="Z61" s="52"/>
      <c r="AA61" s="51"/>
      <c r="AB61" s="53"/>
      <c r="AC61" s="53"/>
      <c r="AD61" s="53"/>
    </row>
    <row r="62" spans="2:30" s="42" customFormat="1" thickBot="1">
      <c r="B62" s="48" t="s">
        <v>57</v>
      </c>
      <c r="C62" s="66" t="s">
        <v>84</v>
      </c>
      <c r="D62" s="49"/>
      <c r="E62" s="49"/>
      <c r="F62" s="49"/>
      <c r="G62" s="49"/>
      <c r="H62" s="49"/>
      <c r="I62" s="49"/>
      <c r="J62" s="50"/>
      <c r="K62" s="49"/>
      <c r="L62" s="49" t="s">
        <v>192</v>
      </c>
      <c r="M62" s="49"/>
      <c r="N62" s="49"/>
      <c r="O62" s="49"/>
      <c r="P62" s="49"/>
      <c r="Q62" s="49"/>
      <c r="R62" s="50"/>
      <c r="S62" s="51"/>
      <c r="T62" s="52" t="str">
        <f>"    "&amp;C62&amp;D62&amp;E62&amp;F62&amp;G62&amp;H62&amp;I62&amp;J62&amp;"    "&amp;L62&amp;$C$197</f>
        <v xml:space="preserve">    0xD1,    /* NDEF Header MB=1, ME=1, CF=0, SR=1, IL=0, TNF=1 */</v>
      </c>
      <c r="U62" s="52"/>
      <c r="V62" s="52"/>
      <c r="W62" s="52"/>
      <c r="X62" s="52"/>
      <c r="Y62" s="52"/>
      <c r="Z62" s="52"/>
      <c r="AA62" s="51"/>
      <c r="AB62" s="53"/>
      <c r="AC62" s="53"/>
      <c r="AD62" s="53"/>
    </row>
    <row r="63" spans="2:30" s="42" customFormat="1" ht="14.25">
      <c r="B63" s="48"/>
      <c r="C63" s="75" t="s">
        <v>0</v>
      </c>
      <c r="D63" s="76" t="s">
        <v>1</v>
      </c>
      <c r="E63" s="76" t="s">
        <v>2</v>
      </c>
      <c r="F63" s="76" t="s">
        <v>3</v>
      </c>
      <c r="G63" s="76" t="s">
        <v>4</v>
      </c>
      <c r="H63" s="223" t="s">
        <v>5</v>
      </c>
      <c r="I63" s="223"/>
      <c r="J63" s="224"/>
      <c r="K63" s="49"/>
      <c r="L63" s="49"/>
      <c r="M63" s="49"/>
      <c r="N63" s="49"/>
      <c r="O63" s="49"/>
      <c r="P63" s="49"/>
      <c r="Q63" s="49"/>
      <c r="R63" s="50"/>
      <c r="S63" s="51"/>
      <c r="T63" s="52" t="str">
        <f>"    "&amp;"    "&amp;$C$197</f>
        <v xml:space="preserve">        </v>
      </c>
      <c r="U63" s="52"/>
      <c r="V63" s="52"/>
      <c r="W63" s="52"/>
      <c r="X63" s="52"/>
      <c r="Y63" s="52"/>
      <c r="Z63" s="52"/>
      <c r="AA63" s="51"/>
      <c r="AB63" s="53"/>
      <c r="AC63" s="53"/>
      <c r="AD63" s="53"/>
    </row>
    <row r="64" spans="2:30" s="42" customFormat="1" ht="14.25">
      <c r="B64" s="48"/>
      <c r="C64" s="76">
        <v>1</v>
      </c>
      <c r="D64" s="76">
        <v>1</v>
      </c>
      <c r="E64" s="76">
        <v>0</v>
      </c>
      <c r="F64" s="76">
        <v>1</v>
      </c>
      <c r="G64" s="76">
        <v>0</v>
      </c>
      <c r="H64" s="76">
        <v>0</v>
      </c>
      <c r="I64" s="76">
        <v>0</v>
      </c>
      <c r="J64" s="77">
        <v>1</v>
      </c>
      <c r="K64" s="49"/>
      <c r="L64" s="49"/>
      <c r="M64" s="49"/>
      <c r="N64" s="49"/>
      <c r="O64" s="49"/>
      <c r="P64" s="49"/>
      <c r="Q64" s="49"/>
      <c r="R64" s="50"/>
      <c r="S64" s="51"/>
      <c r="T64" s="52"/>
      <c r="U64" s="52"/>
      <c r="V64" s="52"/>
      <c r="W64" s="52"/>
      <c r="X64" s="52"/>
      <c r="Y64" s="52"/>
      <c r="Z64" s="52"/>
      <c r="AA64" s="51"/>
      <c r="AB64" s="53"/>
      <c r="AC64" s="53"/>
      <c r="AD64" s="53"/>
    </row>
    <row r="65" spans="2:30" s="42" customFormat="1" thickBot="1">
      <c r="B65" s="48" t="s">
        <v>58</v>
      </c>
      <c r="C65" s="49"/>
      <c r="D65" s="49"/>
      <c r="E65" s="49"/>
      <c r="F65" s="49"/>
      <c r="G65" s="49"/>
      <c r="H65" s="49"/>
      <c r="I65" s="49"/>
      <c r="J65" s="50"/>
      <c r="K65" s="49"/>
      <c r="L65" s="49"/>
      <c r="M65" s="49"/>
      <c r="N65" s="49"/>
      <c r="O65" s="49"/>
      <c r="P65" s="49"/>
      <c r="Q65" s="49"/>
      <c r="R65" s="50"/>
      <c r="S65" s="51"/>
      <c r="T65" s="52"/>
      <c r="U65" s="52"/>
      <c r="V65" s="52"/>
      <c r="W65" s="52"/>
      <c r="X65" s="52"/>
      <c r="Y65" s="52"/>
      <c r="Z65" s="52"/>
      <c r="AA65" s="51"/>
      <c r="AB65" s="53"/>
      <c r="AC65" s="53"/>
      <c r="AD65" s="53"/>
    </row>
    <row r="66" spans="2:30" s="42" customFormat="1" thickBot="1">
      <c r="B66" s="48"/>
      <c r="C66" s="66" t="s">
        <v>59</v>
      </c>
      <c r="D66" s="49"/>
      <c r="E66" s="49"/>
      <c r="F66" s="49"/>
      <c r="G66" s="49"/>
      <c r="H66" s="49"/>
      <c r="I66" s="49"/>
      <c r="J66" s="50"/>
      <c r="K66" s="49"/>
      <c r="L66" s="49" t="s">
        <v>64</v>
      </c>
      <c r="M66" s="49"/>
      <c r="N66" s="49"/>
      <c r="O66" s="49"/>
      <c r="P66" s="49"/>
      <c r="Q66" s="49"/>
      <c r="R66" s="50"/>
      <c r="S66" s="51"/>
      <c r="T66" s="52" t="str">
        <f>"    "&amp;C66&amp;D66&amp;E66&amp;F66&amp;G66&amp;H66&amp;I66&amp;J66&amp;"    "&amp;L66&amp;$C$197</f>
        <v xml:space="preserve">    0x01,    /* Type Length 1 byte */</v>
      </c>
      <c r="U66" s="52"/>
      <c r="V66" s="52"/>
      <c r="W66" s="52"/>
      <c r="X66" s="52"/>
      <c r="Y66" s="52"/>
      <c r="Z66" s="52"/>
      <c r="AA66" s="51"/>
      <c r="AB66" s="53"/>
      <c r="AC66" s="53"/>
      <c r="AD66" s="53"/>
    </row>
    <row r="67" spans="2:30" s="42" customFormat="1" thickBot="1">
      <c r="B67" s="48" t="s">
        <v>60</v>
      </c>
      <c r="C67" s="49"/>
      <c r="D67" s="49"/>
      <c r="E67" s="49"/>
      <c r="F67" s="49"/>
      <c r="G67" s="49"/>
      <c r="H67" s="49"/>
      <c r="I67" s="49"/>
      <c r="J67" s="50"/>
      <c r="K67" s="49"/>
      <c r="L67" s="49"/>
      <c r="M67" s="49"/>
      <c r="N67" s="49"/>
      <c r="O67" s="49"/>
      <c r="P67" s="49"/>
      <c r="Q67" s="49"/>
      <c r="R67" s="50"/>
      <c r="S67" s="51"/>
      <c r="T67" s="52" t="str">
        <f>"    "&amp;"    "&amp;$C$197</f>
        <v xml:space="preserve">        </v>
      </c>
      <c r="U67" s="52"/>
      <c r="V67" s="52"/>
      <c r="W67" s="52"/>
      <c r="X67" s="52"/>
      <c r="Y67" s="52"/>
      <c r="Z67" s="52"/>
      <c r="AA67" s="51"/>
      <c r="AB67" s="53"/>
      <c r="AC67" s="53"/>
      <c r="AD67" s="53"/>
    </row>
    <row r="68" spans="2:30" s="42" customFormat="1" thickBot="1">
      <c r="B68" s="48"/>
      <c r="C68" s="66" t="str">
        <f>L186</f>
        <v>0x13,</v>
      </c>
      <c r="D68" s="49"/>
      <c r="E68" s="49"/>
      <c r="F68" s="49"/>
      <c r="G68" s="49"/>
      <c r="H68" s="49"/>
      <c r="I68" s="49"/>
      <c r="J68" s="50"/>
      <c r="K68" s="49"/>
      <c r="L68" s="49" t="str">
        <f>"/* Payload length "&amp;F186&amp;"bytes */"</f>
        <v>/* Payload length 19bytes */</v>
      </c>
      <c r="M68" s="49"/>
      <c r="N68" s="49"/>
      <c r="O68" s="49"/>
      <c r="P68" s="49"/>
      <c r="Q68" s="49"/>
      <c r="R68" s="50"/>
      <c r="S68" s="51"/>
      <c r="T68" s="52" t="str">
        <f>"    "&amp;C68&amp;D68&amp;E68&amp;F68&amp;G68&amp;H68&amp;I68&amp;J68&amp;"    "&amp;L68&amp;$C$197</f>
        <v xml:space="preserve">    0x13,    /* Payload length 19bytes */</v>
      </c>
      <c r="U68" s="52"/>
      <c r="V68" s="52"/>
      <c r="W68" s="52"/>
      <c r="X68" s="52"/>
      <c r="Y68" s="52"/>
      <c r="Z68" s="52"/>
      <c r="AA68" s="51"/>
      <c r="AB68" s="53"/>
      <c r="AC68" s="53"/>
      <c r="AD68" s="53"/>
    </row>
    <row r="69" spans="2:30" s="42" customFormat="1" thickBot="1">
      <c r="B69" s="48" t="s">
        <v>61</v>
      </c>
      <c r="C69" s="49"/>
      <c r="D69" s="49"/>
      <c r="E69" s="49"/>
      <c r="F69" s="49"/>
      <c r="G69" s="49"/>
      <c r="H69" s="49"/>
      <c r="I69" s="49"/>
      <c r="J69" s="50"/>
      <c r="K69" s="49"/>
      <c r="L69" s="49"/>
      <c r="M69" s="49"/>
      <c r="N69" s="49"/>
      <c r="O69" s="49"/>
      <c r="P69" s="49"/>
      <c r="Q69" s="49"/>
      <c r="R69" s="50"/>
      <c r="S69" s="51"/>
      <c r="T69" s="52" t="str">
        <f>"    "&amp;"    "&amp;$C$197</f>
        <v xml:space="preserve">        </v>
      </c>
      <c r="U69" s="52"/>
      <c r="V69" s="52"/>
      <c r="W69" s="52"/>
      <c r="X69" s="52"/>
      <c r="Y69" s="52"/>
      <c r="Z69" s="52"/>
      <c r="AA69" s="51"/>
      <c r="AB69" s="53"/>
      <c r="AC69" s="53"/>
      <c r="AD69" s="53"/>
    </row>
    <row r="70" spans="2:30" s="42" customFormat="1" thickBot="1">
      <c r="B70" s="48"/>
      <c r="C70" s="63" t="s">
        <v>62</v>
      </c>
      <c r="D70" s="49"/>
      <c r="E70" s="49"/>
      <c r="F70" s="49"/>
      <c r="G70" s="49"/>
      <c r="H70" s="49"/>
      <c r="I70" s="49"/>
      <c r="J70" s="50"/>
      <c r="K70" s="49"/>
      <c r="L70" s="49" t="s">
        <v>63</v>
      </c>
      <c r="M70" s="49"/>
      <c r="N70" s="49"/>
      <c r="O70" s="49"/>
      <c r="P70" s="49"/>
      <c r="Q70" s="49"/>
      <c r="R70" s="50"/>
      <c r="S70" s="51"/>
      <c r="T70" s="52" t="str">
        <f>"    "&amp;C70&amp;D70&amp;E70&amp;F70&amp;G70&amp;H70&amp;I70&amp;J70&amp;"    "&amp;L70&amp;$C$197</f>
        <v xml:space="preserve">    0x55,    /* Type U (URI) */</v>
      </c>
      <c r="U70" s="52"/>
      <c r="V70" s="52"/>
      <c r="W70" s="52"/>
      <c r="X70" s="52"/>
      <c r="Y70" s="52"/>
      <c r="Z70" s="52"/>
      <c r="AA70" s="51"/>
      <c r="AB70" s="53"/>
      <c r="AC70" s="53"/>
      <c r="AD70" s="53"/>
    </row>
    <row r="71" spans="2:30" s="42" customFormat="1" ht="14.25">
      <c r="B71" s="54" t="s">
        <v>65</v>
      </c>
      <c r="C71" s="55"/>
      <c r="D71" s="55"/>
      <c r="E71" s="55"/>
      <c r="F71" s="55"/>
      <c r="G71" s="55"/>
      <c r="H71" s="55"/>
      <c r="I71" s="55"/>
      <c r="J71" s="56"/>
      <c r="K71" s="49"/>
      <c r="L71" s="49" t="s">
        <v>85</v>
      </c>
      <c r="M71" s="49"/>
      <c r="N71" s="49"/>
      <c r="O71" s="49"/>
      <c r="P71" s="49"/>
      <c r="Q71" s="49"/>
      <c r="R71" s="50"/>
      <c r="S71" s="51"/>
      <c r="T71" s="52" t="str">
        <f>C71&amp;D71&amp;E71&amp;F71&amp;G71&amp;H71&amp;I71&amp;J71&amp;"    "&amp;L71&amp;$C$197</f>
        <v xml:space="preserve">    /* Payload start */</v>
      </c>
      <c r="U71" s="52"/>
      <c r="V71" s="52"/>
      <c r="W71" s="52"/>
      <c r="X71" s="52"/>
      <c r="Y71" s="52"/>
      <c r="Z71" s="52"/>
      <c r="AA71" s="51"/>
      <c r="AB71" s="53"/>
      <c r="AC71" s="53"/>
      <c r="AD71" s="53"/>
    </row>
    <row r="72" spans="2:30" s="42" customFormat="1" thickBot="1">
      <c r="B72" s="48" t="s">
        <v>66</v>
      </c>
      <c r="C72" s="49"/>
      <c r="D72" s="49"/>
      <c r="E72" s="49"/>
      <c r="F72" s="49"/>
      <c r="G72" s="49"/>
      <c r="H72" s="49"/>
      <c r="I72" s="49"/>
      <c r="J72" s="50"/>
      <c r="K72" s="49"/>
      <c r="L72" s="49"/>
      <c r="M72" s="49"/>
      <c r="N72" s="49"/>
      <c r="O72" s="49"/>
      <c r="P72" s="49"/>
      <c r="Q72" s="49"/>
      <c r="R72" s="50"/>
      <c r="S72" s="51"/>
      <c r="T72" s="52" t="str">
        <f>"    "&amp;"    "&amp;$C$197</f>
        <v xml:space="preserve">        </v>
      </c>
      <c r="U72" s="52"/>
      <c r="V72" s="52"/>
      <c r="W72" s="52"/>
      <c r="X72" s="52"/>
      <c r="Y72" s="52"/>
      <c r="Z72" s="52"/>
      <c r="AA72" s="51"/>
      <c r="AB72" s="53"/>
      <c r="AC72" s="53"/>
      <c r="AD72" s="53"/>
    </row>
    <row r="73" spans="2:30" s="42" customFormat="1" thickBot="1">
      <c r="B73" s="48"/>
      <c r="C73" s="66" t="s">
        <v>34</v>
      </c>
      <c r="D73" s="49"/>
      <c r="E73" s="49"/>
      <c r="F73" s="49"/>
      <c r="G73" s="49"/>
      <c r="H73" s="49"/>
      <c r="I73" s="49"/>
      <c r="J73" s="50"/>
      <c r="K73" s="49"/>
      <c r="L73" s="49" t="s">
        <v>67</v>
      </c>
      <c r="M73" s="49"/>
      <c r="N73" s="49"/>
      <c r="O73" s="49"/>
      <c r="P73" s="49"/>
      <c r="Q73" s="49"/>
      <c r="R73" s="50"/>
      <c r="S73" s="51"/>
      <c r="T73" s="52" t="str">
        <f>"    "&amp;C73&amp;D73&amp;E73&amp;F73&amp;G73&amp;H73&amp;I73&amp;J73&amp;"    "&amp;L73&amp;$C$197</f>
        <v xml:space="preserve">    0x00,    /* URI Record Type : No abbreviation */</v>
      </c>
      <c r="U73" s="52"/>
      <c r="V73" s="52"/>
      <c r="W73" s="52"/>
      <c r="X73" s="52"/>
      <c r="Y73" s="52"/>
      <c r="Z73" s="52"/>
      <c r="AA73" s="51"/>
      <c r="AB73" s="53"/>
      <c r="AC73" s="53"/>
      <c r="AD73" s="53"/>
    </row>
    <row r="74" spans="2:30" s="42" customFormat="1" thickBot="1">
      <c r="B74" s="48" t="s">
        <v>29</v>
      </c>
      <c r="C74" s="49"/>
      <c r="D74" s="49"/>
      <c r="E74" s="49"/>
      <c r="F74" s="49"/>
      <c r="G74" s="49"/>
      <c r="H74" s="49"/>
      <c r="I74" s="49"/>
      <c r="J74" s="50"/>
      <c r="K74" s="49"/>
      <c r="L74" s="49"/>
      <c r="M74" s="49"/>
      <c r="N74" s="49"/>
      <c r="O74" s="49"/>
      <c r="P74" s="49"/>
      <c r="Q74" s="49"/>
      <c r="R74" s="50"/>
      <c r="S74" s="51"/>
      <c r="T74" s="52" t="str">
        <f>"    "&amp;"    "&amp;$C$197</f>
        <v xml:space="preserve">        </v>
      </c>
      <c r="U74" s="52"/>
      <c r="V74" s="52"/>
      <c r="W74" s="52"/>
      <c r="X74" s="52"/>
      <c r="Y74" s="52"/>
      <c r="Z74" s="52"/>
      <c r="AA74" s="51"/>
      <c r="AB74" s="53"/>
      <c r="AC74" s="53"/>
      <c r="AD74" s="53"/>
    </row>
    <row r="75" spans="2:30" s="42" customFormat="1" thickBot="1">
      <c r="B75" s="48"/>
      <c r="C75" s="58" t="str">
        <f t="shared" ref="C75:I75" si="1">L171</f>
        <v xml:space="preserve">0x77, </v>
      </c>
      <c r="D75" s="59" t="str">
        <f t="shared" si="1"/>
        <v xml:space="preserve">0x69, </v>
      </c>
      <c r="E75" s="59" t="str">
        <f t="shared" si="1"/>
        <v xml:space="preserve">0x66, </v>
      </c>
      <c r="F75" s="59" t="str">
        <f t="shared" si="1"/>
        <v xml:space="preserve">0x69, </v>
      </c>
      <c r="G75" s="59" t="str">
        <f t="shared" si="1"/>
        <v xml:space="preserve">0x3A, </v>
      </c>
      <c r="H75" s="59" t="str">
        <f t="shared" si="1"/>
        <v xml:space="preserve">0x2F, </v>
      </c>
      <c r="I75" s="60" t="str">
        <f t="shared" si="1"/>
        <v xml:space="preserve">0x2F, </v>
      </c>
      <c r="J75" s="50"/>
      <c r="K75" s="49"/>
      <c r="L75" s="49" t="s">
        <v>95</v>
      </c>
      <c r="M75" s="49"/>
      <c r="N75" s="49"/>
      <c r="O75" s="49"/>
      <c r="P75" s="49"/>
      <c r="Q75" s="49"/>
      <c r="R75" s="50"/>
      <c r="S75" s="51"/>
      <c r="T75" s="52" t="str">
        <f>"    "&amp;C75&amp;D75&amp;E75&amp;F75&amp;G75&amp;H75&amp;I75&amp;J75&amp;"    "&amp;L75&amp;$C$197</f>
        <v xml:space="preserve">    0x77, 0x69, 0x66, 0x69, 0x3A, 0x2F, 0x2F,     /* wifi:// text */</v>
      </c>
      <c r="U75" s="52"/>
      <c r="V75" s="52"/>
      <c r="W75" s="52"/>
      <c r="X75" s="52"/>
      <c r="Y75" s="52"/>
      <c r="Z75" s="52"/>
      <c r="AA75" s="51"/>
      <c r="AB75" s="53"/>
      <c r="AC75" s="53"/>
      <c r="AD75" s="53"/>
    </row>
    <row r="76" spans="2:30" s="42" customFormat="1" thickBot="1">
      <c r="B76" s="48" t="s">
        <v>88</v>
      </c>
      <c r="C76" s="49"/>
      <c r="D76" s="49"/>
      <c r="E76" s="49"/>
      <c r="F76" s="49"/>
      <c r="G76" s="49"/>
      <c r="H76" s="49"/>
      <c r="I76" s="49"/>
      <c r="J76" s="50"/>
      <c r="K76" s="49"/>
      <c r="L76" s="49" t="str">
        <f>"/* SSID "&amp;C155&amp;" */"</f>
        <v>/* SSID TXHome */</v>
      </c>
      <c r="M76" s="49"/>
      <c r="N76" s="49"/>
      <c r="O76" s="49"/>
      <c r="P76" s="49"/>
      <c r="Q76" s="49"/>
      <c r="R76" s="50"/>
      <c r="S76" s="51"/>
      <c r="T76" s="52" t="str">
        <f>C76&amp;D76&amp;E76&amp;F76&amp;G76&amp;H76&amp;I76&amp;J76&amp;"    "&amp;L76&amp;$C$197</f>
        <v xml:space="preserve">    /* SSID TXHome */</v>
      </c>
      <c r="U76" s="52"/>
      <c r="V76" s="52"/>
      <c r="W76" s="52"/>
      <c r="X76" s="52"/>
      <c r="Y76" s="52"/>
      <c r="Z76" s="52"/>
      <c r="AA76" s="51"/>
      <c r="AB76" s="53"/>
      <c r="AC76" s="53"/>
      <c r="AD76" s="53"/>
    </row>
    <row r="77" spans="2:30" s="42" customFormat="1" ht="14.25">
      <c r="B77" s="48"/>
      <c r="C77" s="78" t="str">
        <f t="shared" ref="C77:J80" si="2">L156</f>
        <v xml:space="preserve">0x54, </v>
      </c>
      <c r="D77" s="79" t="str">
        <f t="shared" si="2"/>
        <v xml:space="preserve">0x58, </v>
      </c>
      <c r="E77" s="79" t="str">
        <f t="shared" si="2"/>
        <v xml:space="preserve">0x48, </v>
      </c>
      <c r="F77" s="79" t="str">
        <f t="shared" si="2"/>
        <v xml:space="preserve">0x6F, </v>
      </c>
      <c r="G77" s="79" t="str">
        <f t="shared" si="2"/>
        <v xml:space="preserve">0x6D, </v>
      </c>
      <c r="H77" s="79" t="str">
        <f t="shared" si="2"/>
        <v xml:space="preserve">0x65, </v>
      </c>
      <c r="I77" s="79" t="str">
        <f t="shared" si="2"/>
        <v/>
      </c>
      <c r="J77" s="69" t="str">
        <f t="shared" si="2"/>
        <v/>
      </c>
      <c r="K77" s="49"/>
      <c r="L77" s="49"/>
      <c r="M77" s="49"/>
      <c r="N77" s="49"/>
      <c r="O77" s="49"/>
      <c r="P77" s="49"/>
      <c r="Q77" s="49"/>
      <c r="R77" s="50"/>
      <c r="S77" s="51"/>
      <c r="T77" s="52" t="str">
        <f>"    "&amp;C77&amp;D77&amp;E77&amp;F77&amp;G77&amp;H77&amp;I77&amp;J77&amp;"    "&amp;L77&amp;$C$197</f>
        <v xml:space="preserve">    0x54, 0x58, 0x48, 0x6F, 0x6D, 0x65,     </v>
      </c>
      <c r="U77" s="52"/>
      <c r="V77" s="52"/>
      <c r="W77" s="52"/>
      <c r="X77" s="52"/>
      <c r="Y77" s="52"/>
      <c r="Z77" s="52"/>
      <c r="AA77" s="51"/>
      <c r="AB77" s="53"/>
      <c r="AC77" s="53"/>
      <c r="AD77" s="53"/>
    </row>
    <row r="78" spans="2:30" s="42" customFormat="1" ht="14.25">
      <c r="B78" s="48"/>
      <c r="C78" s="80" t="str">
        <f t="shared" si="2"/>
        <v/>
      </c>
      <c r="D78" s="81" t="str">
        <f t="shared" si="2"/>
        <v/>
      </c>
      <c r="E78" s="81" t="str">
        <f t="shared" si="2"/>
        <v/>
      </c>
      <c r="F78" s="81" t="str">
        <f t="shared" si="2"/>
        <v/>
      </c>
      <c r="G78" s="81" t="str">
        <f t="shared" si="2"/>
        <v/>
      </c>
      <c r="H78" s="81" t="str">
        <f t="shared" si="2"/>
        <v/>
      </c>
      <c r="I78" s="81" t="str">
        <f t="shared" si="2"/>
        <v/>
      </c>
      <c r="J78" s="82" t="str">
        <f t="shared" si="2"/>
        <v/>
      </c>
      <c r="K78" s="49"/>
      <c r="L78" s="49"/>
      <c r="M78" s="49"/>
      <c r="N78" s="49"/>
      <c r="O78" s="49"/>
      <c r="P78" s="49"/>
      <c r="Q78" s="49"/>
      <c r="R78" s="50"/>
      <c r="S78" s="51"/>
      <c r="T78" s="52" t="str">
        <f>"    "&amp;C78&amp;D78&amp;E78&amp;F78&amp;G78&amp;H78&amp;I78&amp;J78&amp;"    "&amp;L78&amp;$C$197</f>
        <v xml:space="preserve">        </v>
      </c>
      <c r="U78" s="52"/>
      <c r="V78" s="52"/>
      <c r="W78" s="52"/>
      <c r="X78" s="52"/>
      <c r="Y78" s="52"/>
      <c r="Z78" s="52"/>
      <c r="AA78" s="51"/>
      <c r="AB78" s="53"/>
      <c r="AC78" s="53"/>
      <c r="AD78" s="53"/>
    </row>
    <row r="79" spans="2:30" s="42" customFormat="1" ht="14.25">
      <c r="B79" s="48"/>
      <c r="C79" s="80" t="str">
        <f t="shared" si="2"/>
        <v/>
      </c>
      <c r="D79" s="81" t="str">
        <f t="shared" si="2"/>
        <v/>
      </c>
      <c r="E79" s="81" t="str">
        <f t="shared" si="2"/>
        <v/>
      </c>
      <c r="F79" s="81" t="str">
        <f t="shared" si="2"/>
        <v/>
      </c>
      <c r="G79" s="81" t="str">
        <f t="shared" si="2"/>
        <v/>
      </c>
      <c r="H79" s="81" t="str">
        <f t="shared" si="2"/>
        <v/>
      </c>
      <c r="I79" s="81" t="str">
        <f t="shared" si="2"/>
        <v/>
      </c>
      <c r="J79" s="82" t="str">
        <f t="shared" si="2"/>
        <v/>
      </c>
      <c r="K79" s="49"/>
      <c r="L79" s="49"/>
      <c r="M79" s="49"/>
      <c r="N79" s="49"/>
      <c r="O79" s="49"/>
      <c r="P79" s="49"/>
      <c r="Q79" s="49"/>
      <c r="R79" s="50"/>
      <c r="S79" s="51"/>
      <c r="T79" s="52" t="str">
        <f>"    "&amp;C79&amp;D79&amp;E79&amp;F79&amp;G79&amp;H79&amp;I79&amp;J79&amp;"    "&amp;L79&amp;$C$197</f>
        <v xml:space="preserve">        </v>
      </c>
      <c r="U79" s="52"/>
      <c r="V79" s="52"/>
      <c r="W79" s="52"/>
      <c r="X79" s="52"/>
      <c r="Y79" s="52"/>
      <c r="Z79" s="52"/>
      <c r="AA79" s="51"/>
      <c r="AB79" s="53"/>
      <c r="AC79" s="53"/>
      <c r="AD79" s="53"/>
    </row>
    <row r="80" spans="2:30" s="42" customFormat="1" thickBot="1">
      <c r="B80" s="48"/>
      <c r="C80" s="83" t="str">
        <f t="shared" si="2"/>
        <v/>
      </c>
      <c r="D80" s="84" t="str">
        <f t="shared" si="2"/>
        <v/>
      </c>
      <c r="E80" s="84" t="str">
        <f t="shared" si="2"/>
        <v/>
      </c>
      <c r="F80" s="84" t="str">
        <f t="shared" si="2"/>
        <v/>
      </c>
      <c r="G80" s="84" t="str">
        <f t="shared" si="2"/>
        <v/>
      </c>
      <c r="H80" s="84" t="str">
        <f t="shared" si="2"/>
        <v/>
      </c>
      <c r="I80" s="84" t="str">
        <f t="shared" si="2"/>
        <v/>
      </c>
      <c r="J80" s="85" t="str">
        <f t="shared" si="2"/>
        <v/>
      </c>
      <c r="K80" s="49"/>
      <c r="L80" s="49"/>
      <c r="M80" s="49"/>
      <c r="N80" s="49"/>
      <c r="O80" s="49"/>
      <c r="P80" s="49"/>
      <c r="Q80" s="49"/>
      <c r="R80" s="50"/>
      <c r="S80" s="51"/>
      <c r="T80" s="52" t="str">
        <f>"    "&amp;C80&amp;D80&amp;E80&amp;F80&amp;G80&amp;H80&amp;I80&amp;J80&amp;"    "&amp;L80&amp;$C$197</f>
        <v xml:space="preserve">        </v>
      </c>
      <c r="U80" s="52"/>
      <c r="V80" s="52"/>
      <c r="W80" s="52"/>
      <c r="X80" s="52"/>
      <c r="Y80" s="52"/>
      <c r="Z80" s="52"/>
      <c r="AA80" s="51"/>
      <c r="AB80" s="53"/>
      <c r="AC80" s="53"/>
      <c r="AD80" s="53"/>
    </row>
    <row r="81" spans="2:30" s="42" customFormat="1" thickBot="1">
      <c r="B81" s="48" t="s">
        <v>89</v>
      </c>
      <c r="C81" s="49"/>
      <c r="D81" s="49"/>
      <c r="E81" s="49"/>
      <c r="F81" s="49"/>
      <c r="G81" s="49"/>
      <c r="H81" s="49"/>
      <c r="I81" s="49"/>
      <c r="J81" s="50"/>
      <c r="K81" s="49"/>
      <c r="L81" s="49"/>
      <c r="M81" s="49"/>
      <c r="N81" s="49"/>
      <c r="O81" s="49"/>
      <c r="P81" s="49"/>
      <c r="Q81" s="49"/>
      <c r="R81" s="50"/>
      <c r="S81" s="51"/>
      <c r="T81" s="52" t="str">
        <f>"    "&amp;"    "&amp;$C$197</f>
        <v xml:space="preserve">        </v>
      </c>
      <c r="U81" s="52"/>
      <c r="V81" s="52"/>
      <c r="W81" s="52"/>
      <c r="X81" s="52"/>
      <c r="Y81" s="52"/>
      <c r="Z81" s="52"/>
      <c r="AA81" s="51"/>
      <c r="AB81" s="53"/>
      <c r="AC81" s="53"/>
      <c r="AD81" s="53"/>
    </row>
    <row r="82" spans="2:30" s="42" customFormat="1" thickBot="1">
      <c r="B82" s="48"/>
      <c r="C82" s="66" t="s">
        <v>90</v>
      </c>
      <c r="D82" s="49"/>
      <c r="E82" s="49"/>
      <c r="F82" s="49"/>
      <c r="G82" s="49"/>
      <c r="H82" s="49"/>
      <c r="I82" s="49"/>
      <c r="J82" s="50"/>
      <c r="K82" s="49"/>
      <c r="L82" s="49" t="s">
        <v>96</v>
      </c>
      <c r="M82" s="49"/>
      <c r="N82" s="49"/>
      <c r="O82" s="49"/>
      <c r="P82" s="49"/>
      <c r="Q82" s="49"/>
      <c r="R82" s="50"/>
      <c r="S82" s="51"/>
      <c r="T82" s="52" t="str">
        <f>"    "&amp;C82&amp;D82&amp;E82&amp;F82&amp;G82&amp;H82&amp;I82&amp;J82&amp;"    "&amp;L82&amp;$C$197</f>
        <v xml:space="preserve">    0x2F,    /* 1st / */</v>
      </c>
      <c r="U82" s="52"/>
      <c r="V82" s="52"/>
      <c r="W82" s="52"/>
      <c r="X82" s="52"/>
      <c r="Y82" s="52"/>
      <c r="Z82" s="52"/>
      <c r="AA82" s="51"/>
      <c r="AB82" s="53"/>
      <c r="AC82" s="53"/>
      <c r="AD82" s="53"/>
    </row>
    <row r="83" spans="2:30" s="42" customFormat="1" thickBot="1">
      <c r="B83" s="48" t="s">
        <v>91</v>
      </c>
      <c r="C83" s="49"/>
      <c r="D83" s="49"/>
      <c r="E83" s="49"/>
      <c r="F83" s="49"/>
      <c r="G83" s="49"/>
      <c r="H83" s="49"/>
      <c r="I83" s="49"/>
      <c r="J83" s="50"/>
      <c r="K83" s="49"/>
      <c r="L83" s="49"/>
      <c r="M83" s="49"/>
      <c r="N83" s="49"/>
      <c r="O83" s="49"/>
      <c r="P83" s="49"/>
      <c r="Q83" s="49"/>
      <c r="R83" s="50"/>
      <c r="S83" s="51"/>
      <c r="T83" s="52" t="str">
        <f>"    "&amp;"    "&amp;$C$197</f>
        <v xml:space="preserve">        </v>
      </c>
      <c r="U83" s="52"/>
      <c r="V83" s="52"/>
      <c r="W83" s="52"/>
      <c r="X83" s="52"/>
      <c r="Y83" s="52"/>
      <c r="Z83" s="52"/>
      <c r="AA83" s="51"/>
      <c r="AB83" s="53"/>
      <c r="AC83" s="53"/>
      <c r="AD83" s="53"/>
    </row>
    <row r="84" spans="2:30" s="42" customFormat="1" thickBot="1">
      <c r="B84" s="48"/>
      <c r="C84" s="58" t="str">
        <f t="shared" ref="C84:F84" si="3">L168</f>
        <v xml:space="preserve">0x6F, </v>
      </c>
      <c r="D84" s="59" t="str">
        <f t="shared" si="3"/>
        <v xml:space="preserve">0x70, </v>
      </c>
      <c r="E84" s="59" t="str">
        <f t="shared" si="3"/>
        <v xml:space="preserve">0x65, </v>
      </c>
      <c r="F84" s="60" t="str">
        <f t="shared" si="3"/>
        <v xml:space="preserve">0x6E, </v>
      </c>
      <c r="G84" s="49"/>
      <c r="H84" s="49"/>
      <c r="I84" s="49"/>
      <c r="J84" s="50"/>
      <c r="K84" s="49"/>
      <c r="L84" s="49" t="str">
        <f>"/* security type "&amp;C146&amp;" */"</f>
        <v>/* security type open */</v>
      </c>
      <c r="M84" s="49"/>
      <c r="N84" s="49"/>
      <c r="O84" s="49"/>
      <c r="P84" s="49"/>
      <c r="Q84" s="49"/>
      <c r="R84" s="50"/>
      <c r="S84" s="51"/>
      <c r="T84" s="52" t="str">
        <f>"    "&amp;C84&amp;D84&amp;E84&amp;F84&amp;G84&amp;H84&amp;I84&amp;J84&amp;"    "&amp;L84&amp;$C$197</f>
        <v xml:space="preserve">    0x6F, 0x70, 0x65, 0x6E,     /* security type open */</v>
      </c>
      <c r="U84" s="52"/>
      <c r="V84" s="52"/>
      <c r="W84" s="52"/>
      <c r="X84" s="52"/>
      <c r="Y84" s="52"/>
      <c r="Z84" s="52"/>
      <c r="AA84" s="51"/>
      <c r="AB84" s="53"/>
      <c r="AC84" s="53"/>
      <c r="AD84" s="53"/>
    </row>
    <row r="85" spans="2:30" s="42" customFormat="1" thickBot="1">
      <c r="B85" s="48" t="s">
        <v>92</v>
      </c>
      <c r="C85" s="49"/>
      <c r="D85" s="49"/>
      <c r="E85" s="49"/>
      <c r="F85" s="49"/>
      <c r="G85" s="49"/>
      <c r="H85" s="49"/>
      <c r="I85" s="49"/>
      <c r="J85" s="50"/>
      <c r="K85" s="49"/>
      <c r="L85" s="49"/>
      <c r="M85" s="49"/>
      <c r="N85" s="49"/>
      <c r="O85" s="49"/>
      <c r="P85" s="49"/>
      <c r="Q85" s="49"/>
      <c r="R85" s="50"/>
      <c r="S85" s="51"/>
      <c r="T85" s="52" t="str">
        <f>"    "&amp;"    "&amp;$C$197</f>
        <v xml:space="preserve">        </v>
      </c>
      <c r="U85" s="52"/>
      <c r="V85" s="52"/>
      <c r="W85" s="52"/>
      <c r="X85" s="52"/>
      <c r="Y85" s="52"/>
      <c r="Z85" s="52"/>
      <c r="AA85" s="51"/>
      <c r="AB85" s="53"/>
      <c r="AC85" s="53"/>
      <c r="AD85" s="53"/>
    </row>
    <row r="86" spans="2:30" s="42" customFormat="1" thickBot="1">
      <c r="B86" s="48"/>
      <c r="C86" s="66" t="str">
        <f>IF(F11="open","","0x2F,")</f>
        <v/>
      </c>
      <c r="D86" s="49"/>
      <c r="E86" s="49"/>
      <c r="F86" s="49"/>
      <c r="G86" s="49"/>
      <c r="H86" s="49"/>
      <c r="I86" s="49"/>
      <c r="J86" s="50"/>
      <c r="K86" s="49"/>
      <c r="L86" s="49" t="str">
        <f>IF(F11="open","","/* 2nd / */")</f>
        <v/>
      </c>
      <c r="M86" s="49"/>
      <c r="N86" s="49"/>
      <c r="O86" s="49"/>
      <c r="P86" s="49"/>
      <c r="Q86" s="49"/>
      <c r="R86" s="50"/>
      <c r="S86" s="51"/>
      <c r="T86" s="52" t="str">
        <f>"    "&amp;C86&amp;D86&amp;E86&amp;F86&amp;G86&amp;H86&amp;I86&amp;J86&amp;"    "&amp;L86&amp;$C$197</f>
        <v xml:space="preserve">        </v>
      </c>
      <c r="U86" s="52"/>
      <c r="V86" s="52"/>
      <c r="W86" s="52"/>
      <c r="X86" s="52"/>
      <c r="Y86" s="52"/>
      <c r="Z86" s="52"/>
      <c r="AA86" s="51"/>
      <c r="AB86" s="53"/>
      <c r="AC86" s="53"/>
      <c r="AD86" s="53"/>
    </row>
    <row r="87" spans="2:30" s="42" customFormat="1" thickBot="1">
      <c r="B87" s="48" t="s">
        <v>93</v>
      </c>
      <c r="C87" s="49"/>
      <c r="D87" s="49"/>
      <c r="E87" s="49"/>
      <c r="F87" s="49"/>
      <c r="G87" s="49"/>
      <c r="H87" s="49"/>
      <c r="I87" s="49"/>
      <c r="J87" s="50"/>
      <c r="K87" s="49"/>
      <c r="L87" s="49" t="str">
        <f>IF(F11="open","","/* security key "&amp;C161&amp;" */")</f>
        <v/>
      </c>
      <c r="M87" s="49"/>
      <c r="N87" s="49"/>
      <c r="O87" s="49"/>
      <c r="P87" s="49"/>
      <c r="Q87" s="49"/>
      <c r="R87" s="50"/>
      <c r="S87" s="51"/>
      <c r="T87" s="52" t="str">
        <f>"    "&amp;C87&amp;D87&amp;E87&amp;F87&amp;G87&amp;H87&amp;I87&amp;J87&amp;""&amp;L87&amp;$C$197</f>
        <v xml:space="preserve">    </v>
      </c>
      <c r="U87" s="52"/>
      <c r="V87" s="52"/>
      <c r="W87" s="52"/>
      <c r="X87" s="52"/>
      <c r="Y87" s="52"/>
      <c r="Z87" s="52"/>
      <c r="AA87" s="51"/>
      <c r="AB87" s="53"/>
      <c r="AC87" s="53"/>
      <c r="AD87" s="53"/>
    </row>
    <row r="88" spans="2:30" s="42" customFormat="1" ht="14.25">
      <c r="B88" s="48"/>
      <c r="C88" s="78" t="str">
        <f t="shared" ref="C88:J91" si="4">L162</f>
        <v/>
      </c>
      <c r="D88" s="79" t="str">
        <f t="shared" si="4"/>
        <v/>
      </c>
      <c r="E88" s="79" t="str">
        <f t="shared" si="4"/>
        <v/>
      </c>
      <c r="F88" s="79" t="str">
        <f t="shared" si="4"/>
        <v/>
      </c>
      <c r="G88" s="79" t="str">
        <f t="shared" si="4"/>
        <v/>
      </c>
      <c r="H88" s="79" t="str">
        <f t="shared" si="4"/>
        <v/>
      </c>
      <c r="I88" s="79" t="str">
        <f t="shared" si="4"/>
        <v/>
      </c>
      <c r="J88" s="69" t="str">
        <f t="shared" si="4"/>
        <v/>
      </c>
      <c r="K88" s="49"/>
      <c r="L88" s="49"/>
      <c r="M88" s="49"/>
      <c r="N88" s="49"/>
      <c r="O88" s="49"/>
      <c r="P88" s="49"/>
      <c r="Q88" s="49"/>
      <c r="R88" s="50"/>
      <c r="S88" s="51"/>
      <c r="T88" s="52" t="str">
        <f>"    "&amp;C88&amp;D88&amp;E88&amp;F88&amp;G88&amp;H88&amp;I88&amp;J88&amp;"    "&amp;L88&amp;$C$197</f>
        <v xml:space="preserve">        </v>
      </c>
      <c r="U88" s="52"/>
      <c r="V88" s="52"/>
      <c r="W88" s="52"/>
      <c r="X88" s="52"/>
      <c r="Y88" s="52"/>
      <c r="Z88" s="52"/>
      <c r="AA88" s="51"/>
      <c r="AB88" s="53"/>
      <c r="AC88" s="53"/>
      <c r="AD88" s="53"/>
    </row>
    <row r="89" spans="2:30" s="42" customFormat="1" ht="14.25">
      <c r="B89" s="48"/>
      <c r="C89" s="80" t="str">
        <f t="shared" si="4"/>
        <v/>
      </c>
      <c r="D89" s="81" t="str">
        <f t="shared" si="4"/>
        <v/>
      </c>
      <c r="E89" s="81" t="str">
        <f t="shared" si="4"/>
        <v/>
      </c>
      <c r="F89" s="81" t="str">
        <f t="shared" si="4"/>
        <v/>
      </c>
      <c r="G89" s="81" t="str">
        <f t="shared" si="4"/>
        <v/>
      </c>
      <c r="H89" s="81" t="str">
        <f t="shared" si="4"/>
        <v/>
      </c>
      <c r="I89" s="81" t="str">
        <f t="shared" si="4"/>
        <v/>
      </c>
      <c r="J89" s="82" t="str">
        <f t="shared" si="4"/>
        <v/>
      </c>
      <c r="K89" s="49"/>
      <c r="L89" s="49"/>
      <c r="M89" s="49"/>
      <c r="N89" s="49"/>
      <c r="O89" s="49"/>
      <c r="P89" s="49"/>
      <c r="Q89" s="49"/>
      <c r="R89" s="50"/>
      <c r="S89" s="51"/>
      <c r="T89" s="52" t="str">
        <f>"    "&amp;C89&amp;D89&amp;E89&amp;F89&amp;G89&amp;H89&amp;I89&amp;J89&amp;"    "&amp;L89&amp;$C$197</f>
        <v xml:space="preserve">        </v>
      </c>
      <c r="U89" s="52"/>
      <c r="V89" s="52"/>
      <c r="W89" s="52"/>
      <c r="X89" s="52"/>
      <c r="Y89" s="52"/>
      <c r="Z89" s="52"/>
      <c r="AA89" s="51"/>
      <c r="AB89" s="53"/>
      <c r="AC89" s="53"/>
      <c r="AD89" s="53"/>
    </row>
    <row r="90" spans="2:30" s="42" customFormat="1" ht="14.25">
      <c r="B90" s="48"/>
      <c r="C90" s="80" t="str">
        <f t="shared" si="4"/>
        <v/>
      </c>
      <c r="D90" s="81" t="str">
        <f t="shared" si="4"/>
        <v/>
      </c>
      <c r="E90" s="81" t="str">
        <f t="shared" si="4"/>
        <v/>
      </c>
      <c r="F90" s="81" t="str">
        <f t="shared" si="4"/>
        <v/>
      </c>
      <c r="G90" s="81" t="str">
        <f t="shared" si="4"/>
        <v/>
      </c>
      <c r="H90" s="81" t="str">
        <f t="shared" si="4"/>
        <v/>
      </c>
      <c r="I90" s="81" t="str">
        <f t="shared" si="4"/>
        <v/>
      </c>
      <c r="J90" s="82" t="str">
        <f t="shared" si="4"/>
        <v/>
      </c>
      <c r="K90" s="49"/>
      <c r="L90" s="49"/>
      <c r="M90" s="49"/>
      <c r="N90" s="49"/>
      <c r="O90" s="49"/>
      <c r="P90" s="49"/>
      <c r="Q90" s="49"/>
      <c r="R90" s="50"/>
      <c r="S90" s="51"/>
      <c r="T90" s="52" t="str">
        <f>"    "&amp;C90&amp;D90&amp;E90&amp;F90&amp;G90&amp;H90&amp;I90&amp;J90&amp;"    "&amp;L90&amp;$C$197</f>
        <v xml:space="preserve">        </v>
      </c>
      <c r="U90" s="52"/>
      <c r="V90" s="52"/>
      <c r="W90" s="52"/>
      <c r="X90" s="52"/>
      <c r="Y90" s="52"/>
      <c r="Z90" s="52"/>
      <c r="AA90" s="51"/>
      <c r="AB90" s="53"/>
      <c r="AC90" s="53"/>
      <c r="AD90" s="53"/>
    </row>
    <row r="91" spans="2:30" s="42" customFormat="1" thickBot="1">
      <c r="B91" s="57"/>
      <c r="C91" s="83" t="str">
        <f t="shared" si="4"/>
        <v/>
      </c>
      <c r="D91" s="84" t="str">
        <f t="shared" si="4"/>
        <v/>
      </c>
      <c r="E91" s="84" t="str">
        <f t="shared" si="4"/>
        <v/>
      </c>
      <c r="F91" s="84" t="str">
        <f t="shared" si="4"/>
        <v/>
      </c>
      <c r="G91" s="84" t="str">
        <f t="shared" si="4"/>
        <v/>
      </c>
      <c r="H91" s="84" t="str">
        <f t="shared" si="4"/>
        <v/>
      </c>
      <c r="I91" s="84" t="str">
        <f t="shared" si="4"/>
        <v/>
      </c>
      <c r="J91" s="85" t="str">
        <f t="shared" si="4"/>
        <v/>
      </c>
      <c r="K91" s="49"/>
      <c r="L91" s="49"/>
      <c r="M91" s="49"/>
      <c r="N91" s="49"/>
      <c r="O91" s="49"/>
      <c r="P91" s="49"/>
      <c r="Q91" s="49"/>
      <c r="R91" s="50"/>
      <c r="S91" s="51"/>
      <c r="T91" s="52" t="str">
        <f>"    "&amp;C91&amp;D91&amp;E91&amp;F91&amp;G91&amp;H91&amp;I91&amp;J91&amp;"    "&amp;L91&amp;$C$197</f>
        <v xml:space="preserve">        </v>
      </c>
      <c r="U91" s="52"/>
      <c r="V91" s="52"/>
      <c r="W91" s="52"/>
      <c r="X91" s="52"/>
      <c r="Y91" s="52"/>
      <c r="Z91" s="52"/>
      <c r="AA91" s="51"/>
      <c r="AB91" s="53"/>
      <c r="AC91" s="53"/>
      <c r="AD91" s="53"/>
    </row>
    <row r="92" spans="2:30" s="42" customFormat="1" ht="14.25">
      <c r="B92" s="48"/>
      <c r="C92" s="49"/>
      <c r="D92" s="49"/>
      <c r="E92" s="49"/>
      <c r="F92" s="49"/>
      <c r="G92" s="49"/>
      <c r="H92" s="49"/>
      <c r="I92" s="49"/>
      <c r="J92" s="49"/>
      <c r="K92" s="49"/>
      <c r="L92" s="49" t="s">
        <v>97</v>
      </c>
      <c r="M92" s="49"/>
      <c r="N92" s="49"/>
      <c r="O92" s="49"/>
      <c r="P92" s="49"/>
      <c r="Q92" s="49"/>
      <c r="R92" s="50"/>
      <c r="S92" s="49"/>
      <c r="T92" s="52" t="str">
        <f>C92&amp;D92&amp;E92&amp;F92&amp;G92&amp;H92&amp;I92&amp;J92&amp;L92</f>
        <v>} /* End of data */</v>
      </c>
      <c r="U92" s="52"/>
      <c r="V92" s="52"/>
      <c r="W92" s="52"/>
      <c r="X92" s="52"/>
      <c r="Y92" s="52"/>
      <c r="Z92" s="52"/>
      <c r="AA92" s="52"/>
      <c r="AB92" s="86"/>
      <c r="AC92" s="86"/>
    </row>
    <row r="93" spans="2:30" ht="15.75" thickBot="1"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2"/>
      <c r="S93" s="8"/>
      <c r="T93" s="6"/>
      <c r="U93" s="6"/>
      <c r="V93" s="6"/>
      <c r="W93" s="6"/>
      <c r="X93" s="6"/>
      <c r="Y93" s="6"/>
      <c r="Z93" s="6"/>
      <c r="AA93" s="6"/>
      <c r="AB93" s="7"/>
      <c r="AC93" s="7"/>
    </row>
    <row r="112" spans="2:23"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</row>
    <row r="113" spans="1:29"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</row>
    <row r="114" spans="1:29"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</row>
    <row r="115" spans="1:29"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</row>
    <row r="116" spans="1:29"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</row>
    <row r="117" spans="1:29"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</row>
    <row r="118" spans="1:29"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</row>
    <row r="119" spans="1:29"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</row>
    <row r="120" spans="1:29"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</row>
    <row r="121" spans="1:29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</row>
    <row r="122" spans="1:29"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</row>
    <row r="123" spans="1:29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</row>
    <row r="124" spans="1:29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</row>
    <row r="125" spans="1:29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</row>
    <row r="126" spans="1:29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</row>
    <row r="127" spans="1:29">
      <c r="A127" s="42"/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42"/>
      <c r="Y127" s="42"/>
      <c r="Z127" s="42"/>
      <c r="AA127" s="42"/>
      <c r="AB127" s="42"/>
      <c r="AC127" s="42"/>
    </row>
    <row r="128" spans="1:29">
      <c r="A128" s="42"/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42"/>
      <c r="Y128" s="42"/>
      <c r="Z128" s="42"/>
      <c r="AA128" s="42"/>
      <c r="AB128" s="42"/>
      <c r="AC128" s="42"/>
    </row>
    <row r="129" spans="1:29">
      <c r="A129" s="42"/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42"/>
      <c r="Y129" s="42"/>
      <c r="Z129" s="42"/>
      <c r="AA129" s="42"/>
      <c r="AB129" s="42"/>
      <c r="AC129" s="42"/>
    </row>
    <row r="130" spans="1:29">
      <c r="A130" s="42"/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42"/>
      <c r="Y130" s="42"/>
      <c r="Z130" s="42"/>
      <c r="AA130" s="42"/>
      <c r="AB130" s="42"/>
      <c r="AC130" s="42"/>
    </row>
    <row r="131" spans="1:29">
      <c r="A131" s="42"/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42"/>
      <c r="Y131" s="42"/>
      <c r="Z131" s="42"/>
      <c r="AA131" s="42"/>
      <c r="AB131" s="42"/>
      <c r="AC131" s="42"/>
    </row>
    <row r="132" spans="1:29">
      <c r="A132" s="42"/>
      <c r="B132" s="52"/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42"/>
      <c r="Y132" s="42"/>
      <c r="Z132" s="42"/>
      <c r="AA132" s="42"/>
      <c r="AB132" s="42"/>
      <c r="AC132" s="42"/>
    </row>
    <row r="133" spans="1:29">
      <c r="A133" s="42"/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42"/>
      <c r="Y133" s="42"/>
      <c r="Z133" s="42"/>
      <c r="AA133" s="42"/>
      <c r="AB133" s="42"/>
      <c r="AC133" s="42"/>
    </row>
    <row r="134" spans="1:29">
      <c r="A134" s="42"/>
      <c r="B134" s="52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42"/>
      <c r="Y134" s="42"/>
      <c r="Z134" s="42"/>
      <c r="AA134" s="42"/>
      <c r="AB134" s="42"/>
      <c r="AC134" s="42"/>
    </row>
    <row r="135" spans="1:29">
      <c r="A135" s="42"/>
      <c r="B135" s="52"/>
      <c r="C135" s="52"/>
      <c r="D135" s="52"/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42"/>
      <c r="Y135" s="42"/>
      <c r="Z135" s="42"/>
      <c r="AA135" s="42"/>
      <c r="AB135" s="42"/>
      <c r="AC135" s="42"/>
    </row>
    <row r="136" spans="1:29" hidden="1" outlineLevel="1">
      <c r="A136" s="42"/>
      <c r="B136" s="52"/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42"/>
      <c r="Y136" s="42"/>
      <c r="Z136" s="42"/>
      <c r="AA136" s="42"/>
      <c r="AB136" s="42"/>
      <c r="AC136" s="42"/>
    </row>
    <row r="137" spans="1:29" hidden="1" outlineLevel="1">
      <c r="A137" s="42"/>
      <c r="B137" s="52"/>
      <c r="C137" s="52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42"/>
      <c r="Y137" s="42"/>
      <c r="Z137" s="42"/>
      <c r="AA137" s="42"/>
      <c r="AB137" s="42"/>
      <c r="AC137" s="42"/>
    </row>
    <row r="138" spans="1:29" hidden="1" outlineLevel="1">
      <c r="A138" s="42"/>
      <c r="B138" s="52"/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42"/>
      <c r="Y138" s="42"/>
      <c r="Z138" s="42"/>
      <c r="AA138" s="42"/>
      <c r="AB138" s="42"/>
      <c r="AC138" s="42"/>
    </row>
    <row r="139" spans="1:29" hidden="1" outlineLevel="1">
      <c r="A139" s="42"/>
      <c r="B139" s="52"/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42"/>
      <c r="Y139" s="42"/>
      <c r="Z139" s="42"/>
      <c r="AA139" s="42"/>
      <c r="AB139" s="42"/>
      <c r="AC139" s="42"/>
    </row>
    <row r="140" spans="1:29" hidden="1" outlineLevel="1">
      <c r="A140" s="42"/>
      <c r="B140" s="52"/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42"/>
      <c r="Y140" s="42"/>
      <c r="Z140" s="42"/>
      <c r="AA140" s="42"/>
      <c r="AB140" s="42"/>
      <c r="AC140" s="42"/>
    </row>
    <row r="141" spans="1:29" hidden="1" outlineLevel="1">
      <c r="A141" s="42"/>
      <c r="B141" s="52" t="s">
        <v>55</v>
      </c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42"/>
      <c r="Y141" s="42"/>
      <c r="Z141" s="42"/>
      <c r="AA141" s="42"/>
      <c r="AB141" s="42"/>
      <c r="AC141" s="42"/>
    </row>
    <row r="142" spans="1:29" hidden="1" outlineLevel="1">
      <c r="A142" s="42"/>
      <c r="B142" s="52" t="s">
        <v>22</v>
      </c>
      <c r="C142" s="52"/>
      <c r="D142" s="87"/>
      <c r="E142" s="87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42"/>
      <c r="Y142" s="42"/>
      <c r="Z142" s="42"/>
      <c r="AA142" s="42"/>
      <c r="AB142" s="42"/>
      <c r="AC142" s="42"/>
    </row>
    <row r="143" spans="1:29" hidden="1" outlineLevel="1">
      <c r="A143" s="42"/>
      <c r="B143" s="52"/>
      <c r="C143" s="87" t="str">
        <f>F9</f>
        <v>TXHome</v>
      </c>
      <c r="D143" s="87"/>
      <c r="E143" s="87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42"/>
      <c r="Y143" s="42"/>
      <c r="Z143" s="42"/>
      <c r="AA143" s="42"/>
      <c r="AB143" s="42"/>
      <c r="AC143" s="42"/>
    </row>
    <row r="144" spans="1:29" hidden="1" outlineLevel="1">
      <c r="A144" s="42"/>
      <c r="B144" s="52" t="s">
        <v>23</v>
      </c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42"/>
      <c r="Y144" s="42"/>
      <c r="Z144" s="42"/>
      <c r="AA144" s="42"/>
      <c r="AB144" s="42"/>
      <c r="AC144" s="42"/>
    </row>
    <row r="145" spans="1:29" hidden="1" outlineLevel="1">
      <c r="A145" s="42"/>
      <c r="B145" s="52"/>
      <c r="C145" s="52" t="s">
        <v>24</v>
      </c>
      <c r="D145" s="52" t="s">
        <v>6</v>
      </c>
      <c r="E145" s="52" t="s">
        <v>7</v>
      </c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42"/>
      <c r="Y145" s="42"/>
      <c r="Z145" s="42"/>
      <c r="AA145" s="42"/>
      <c r="AB145" s="42"/>
      <c r="AC145" s="42"/>
    </row>
    <row r="146" spans="1:29" hidden="1" outlineLevel="1">
      <c r="A146" s="42"/>
      <c r="B146" s="52"/>
      <c r="C146" s="52" t="str">
        <f>F11</f>
        <v>open</v>
      </c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42"/>
      <c r="Y146" s="42"/>
      <c r="Z146" s="42"/>
      <c r="AA146" s="42"/>
      <c r="AB146" s="42"/>
      <c r="AC146" s="42"/>
    </row>
    <row r="147" spans="1:29" hidden="1" outlineLevel="1">
      <c r="A147" s="42"/>
      <c r="B147" s="52" t="s">
        <v>25</v>
      </c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42"/>
      <c r="Y147" s="42"/>
      <c r="Z147" s="42"/>
      <c r="AA147" s="42"/>
      <c r="AB147" s="42"/>
      <c r="AC147" s="42"/>
    </row>
    <row r="148" spans="1:29" hidden="1" outlineLevel="1">
      <c r="A148" s="42"/>
      <c r="B148" s="52"/>
      <c r="C148" s="52">
        <f>F13</f>
        <v>0</v>
      </c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42"/>
      <c r="Y148" s="42"/>
      <c r="Z148" s="42"/>
      <c r="AA148" s="42"/>
      <c r="AB148" s="42"/>
      <c r="AC148" s="42"/>
    </row>
    <row r="149" spans="1:29" hidden="1" outlineLevel="1">
      <c r="A149" s="42"/>
      <c r="B149" s="52"/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42"/>
      <c r="Y149" s="42"/>
      <c r="Z149" s="42"/>
      <c r="AA149" s="42"/>
      <c r="AB149" s="42"/>
      <c r="AC149" s="42"/>
    </row>
    <row r="150" spans="1:29" hidden="1" outlineLevel="1">
      <c r="A150" s="42"/>
      <c r="B150" s="52" t="s">
        <v>28</v>
      </c>
      <c r="C150" s="52">
        <v>1</v>
      </c>
      <c r="D150" s="52">
        <v>2</v>
      </c>
      <c r="E150" s="52">
        <v>3</v>
      </c>
      <c r="F150" s="52">
        <v>4</v>
      </c>
      <c r="G150" s="52">
        <v>5</v>
      </c>
      <c r="H150" s="52">
        <v>6</v>
      </c>
      <c r="I150" s="52">
        <v>7</v>
      </c>
      <c r="J150" s="52">
        <v>8</v>
      </c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42"/>
      <c r="Y150" s="42"/>
      <c r="Z150" s="42"/>
      <c r="AA150" s="42"/>
      <c r="AB150" s="42"/>
      <c r="AC150" s="42"/>
    </row>
    <row r="151" spans="1:29" hidden="1" outlineLevel="1">
      <c r="A151" s="42"/>
      <c r="B151" s="52"/>
      <c r="C151" s="52">
        <v>9</v>
      </c>
      <c r="D151" s="52">
        <v>10</v>
      </c>
      <c r="E151" s="52">
        <v>11</v>
      </c>
      <c r="F151" s="52">
        <v>12</v>
      </c>
      <c r="G151" s="52">
        <v>13</v>
      </c>
      <c r="H151" s="52">
        <v>14</v>
      </c>
      <c r="I151" s="52">
        <v>15</v>
      </c>
      <c r="J151" s="52">
        <v>16</v>
      </c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42"/>
      <c r="Y151" s="42"/>
      <c r="Z151" s="42"/>
      <c r="AA151" s="42"/>
      <c r="AB151" s="42"/>
      <c r="AC151" s="42"/>
    </row>
    <row r="152" spans="1:29" hidden="1" outlineLevel="1">
      <c r="A152" s="42"/>
      <c r="B152" s="52"/>
      <c r="C152" s="52">
        <v>17</v>
      </c>
      <c r="D152" s="52">
        <v>18</v>
      </c>
      <c r="E152" s="52">
        <v>19</v>
      </c>
      <c r="F152" s="52">
        <v>20</v>
      </c>
      <c r="G152" s="52">
        <v>21</v>
      </c>
      <c r="H152" s="52">
        <v>22</v>
      </c>
      <c r="I152" s="52">
        <v>23</v>
      </c>
      <c r="J152" s="52">
        <v>24</v>
      </c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42"/>
      <c r="Y152" s="42"/>
      <c r="Z152" s="42"/>
      <c r="AA152" s="42"/>
      <c r="AB152" s="42"/>
      <c r="AC152" s="42"/>
    </row>
    <row r="153" spans="1:29" hidden="1" outlineLevel="1">
      <c r="A153" s="42"/>
      <c r="B153" s="52"/>
      <c r="C153" s="52">
        <v>25</v>
      </c>
      <c r="D153" s="52">
        <v>26</v>
      </c>
      <c r="E153" s="52">
        <v>27</v>
      </c>
      <c r="F153" s="52">
        <v>28</v>
      </c>
      <c r="G153" s="52">
        <v>29</v>
      </c>
      <c r="H153" s="52">
        <v>30</v>
      </c>
      <c r="I153" s="52">
        <v>31</v>
      </c>
      <c r="J153" s="52">
        <v>32</v>
      </c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42"/>
      <c r="Y153" s="42"/>
      <c r="Z153" s="42"/>
      <c r="AA153" s="42"/>
      <c r="AB153" s="42"/>
      <c r="AC153" s="42"/>
    </row>
    <row r="154" spans="1:29" hidden="1" outlineLevel="1">
      <c r="A154" s="42"/>
      <c r="B154" s="52" t="s">
        <v>27</v>
      </c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42"/>
      <c r="Y154" s="42"/>
      <c r="Z154" s="42"/>
      <c r="AA154" s="42"/>
      <c r="AB154" s="42"/>
      <c r="AC154" s="42"/>
    </row>
    <row r="155" spans="1:29" hidden="1" outlineLevel="1">
      <c r="A155" s="42"/>
      <c r="B155" s="52"/>
      <c r="C155" s="52" t="str">
        <f>C143</f>
        <v>TXHome</v>
      </c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42"/>
      <c r="Y155" s="42"/>
      <c r="Z155" s="42"/>
      <c r="AA155" s="42"/>
      <c r="AB155" s="42"/>
      <c r="AC155" s="42"/>
    </row>
    <row r="156" spans="1:29" hidden="1" outlineLevel="1">
      <c r="A156" s="42"/>
      <c r="B156" s="52"/>
      <c r="C156" s="52" t="str">
        <f>MID($C$155,C150,1)</f>
        <v>T</v>
      </c>
      <c r="D156" s="52" t="str">
        <f t="shared" ref="D156:J156" si="5">MID($C$155,D150,1)</f>
        <v>X</v>
      </c>
      <c r="E156" s="52" t="str">
        <f t="shared" si="5"/>
        <v>H</v>
      </c>
      <c r="F156" s="52" t="str">
        <f t="shared" si="5"/>
        <v>o</v>
      </c>
      <c r="G156" s="52" t="str">
        <f t="shared" si="5"/>
        <v>m</v>
      </c>
      <c r="H156" s="52" t="str">
        <f t="shared" si="5"/>
        <v>e</v>
      </c>
      <c r="I156" s="52" t="str">
        <f t="shared" si="5"/>
        <v/>
      </c>
      <c r="J156" s="52" t="str">
        <f t="shared" si="5"/>
        <v/>
      </c>
      <c r="K156" s="52"/>
      <c r="L156" s="88" t="str">
        <f>IF(ISERR(CODE(C156)),"","0x"&amp;DEC2HEX(CODE(C156))&amp;", ")</f>
        <v xml:space="preserve">0x54, </v>
      </c>
      <c r="M156" s="88" t="str">
        <f t="shared" ref="M156:S159" si="6">IF(ISERR(CODE(D156)),"","0x"&amp;DEC2HEX(CODE(D156))&amp;", ")</f>
        <v xml:space="preserve">0x58, </v>
      </c>
      <c r="N156" s="88" t="str">
        <f t="shared" si="6"/>
        <v xml:space="preserve">0x48, </v>
      </c>
      <c r="O156" s="88" t="str">
        <f t="shared" si="6"/>
        <v xml:space="preserve">0x6F, </v>
      </c>
      <c r="P156" s="88" t="str">
        <f t="shared" si="6"/>
        <v xml:space="preserve">0x6D, </v>
      </c>
      <c r="Q156" s="88" t="str">
        <f t="shared" si="6"/>
        <v xml:space="preserve">0x65, </v>
      </c>
      <c r="R156" s="88" t="str">
        <f t="shared" si="6"/>
        <v/>
      </c>
      <c r="S156" s="88" t="str">
        <f t="shared" si="6"/>
        <v/>
      </c>
      <c r="T156" s="52"/>
      <c r="U156" s="52"/>
      <c r="V156" s="52"/>
      <c r="W156" s="52"/>
      <c r="X156" s="42"/>
      <c r="Y156" s="42"/>
      <c r="Z156" s="42"/>
      <c r="AA156" s="42"/>
      <c r="AB156" s="42"/>
      <c r="AC156" s="42"/>
    </row>
    <row r="157" spans="1:29" hidden="1" outlineLevel="1">
      <c r="A157" s="42"/>
      <c r="B157" s="52"/>
      <c r="C157" s="52" t="str">
        <f t="shared" ref="C157:J157" si="7">MID($C$155,C151,1)</f>
        <v/>
      </c>
      <c r="D157" s="52" t="str">
        <f t="shared" si="7"/>
        <v/>
      </c>
      <c r="E157" s="52" t="str">
        <f t="shared" si="7"/>
        <v/>
      </c>
      <c r="F157" s="52" t="str">
        <f t="shared" si="7"/>
        <v/>
      </c>
      <c r="G157" s="52" t="str">
        <f t="shared" si="7"/>
        <v/>
      </c>
      <c r="H157" s="52" t="str">
        <f t="shared" si="7"/>
        <v/>
      </c>
      <c r="I157" s="52" t="str">
        <f t="shared" si="7"/>
        <v/>
      </c>
      <c r="J157" s="52" t="str">
        <f t="shared" si="7"/>
        <v/>
      </c>
      <c r="K157" s="52"/>
      <c r="L157" s="88" t="str">
        <f t="shared" ref="L157:L159" si="8">IF(ISERR(CODE(C157)),"","0x"&amp;DEC2HEX(CODE(C157))&amp;", ")</f>
        <v/>
      </c>
      <c r="M157" s="88" t="str">
        <f t="shared" si="6"/>
        <v/>
      </c>
      <c r="N157" s="88" t="str">
        <f t="shared" si="6"/>
        <v/>
      </c>
      <c r="O157" s="88" t="str">
        <f t="shared" si="6"/>
        <v/>
      </c>
      <c r="P157" s="88" t="str">
        <f t="shared" si="6"/>
        <v/>
      </c>
      <c r="Q157" s="88" t="str">
        <f t="shared" si="6"/>
        <v/>
      </c>
      <c r="R157" s="88" t="str">
        <f t="shared" si="6"/>
        <v/>
      </c>
      <c r="S157" s="88" t="str">
        <f t="shared" si="6"/>
        <v/>
      </c>
      <c r="T157" s="52"/>
      <c r="U157" s="52"/>
      <c r="V157" s="52"/>
      <c r="W157" s="52"/>
      <c r="X157" s="42"/>
      <c r="Y157" s="42"/>
      <c r="Z157" s="42"/>
      <c r="AA157" s="42"/>
      <c r="AB157" s="42"/>
      <c r="AC157" s="42"/>
    </row>
    <row r="158" spans="1:29" hidden="1" outlineLevel="1">
      <c r="A158" s="42"/>
      <c r="B158" s="52"/>
      <c r="C158" s="52" t="str">
        <f t="shared" ref="C158:J158" si="9">MID($C$155,C152,1)</f>
        <v/>
      </c>
      <c r="D158" s="52" t="str">
        <f t="shared" si="9"/>
        <v/>
      </c>
      <c r="E158" s="52" t="str">
        <f t="shared" si="9"/>
        <v/>
      </c>
      <c r="F158" s="52" t="str">
        <f t="shared" si="9"/>
        <v/>
      </c>
      <c r="G158" s="52" t="str">
        <f t="shared" si="9"/>
        <v/>
      </c>
      <c r="H158" s="52" t="str">
        <f t="shared" si="9"/>
        <v/>
      </c>
      <c r="I158" s="52" t="str">
        <f t="shared" si="9"/>
        <v/>
      </c>
      <c r="J158" s="52" t="str">
        <f t="shared" si="9"/>
        <v/>
      </c>
      <c r="K158" s="52"/>
      <c r="L158" s="88" t="str">
        <f t="shared" si="8"/>
        <v/>
      </c>
      <c r="M158" s="88" t="str">
        <f t="shared" si="6"/>
        <v/>
      </c>
      <c r="N158" s="88" t="str">
        <f t="shared" si="6"/>
        <v/>
      </c>
      <c r="O158" s="88" t="str">
        <f t="shared" si="6"/>
        <v/>
      </c>
      <c r="P158" s="88" t="str">
        <f t="shared" si="6"/>
        <v/>
      </c>
      <c r="Q158" s="88" t="str">
        <f t="shared" si="6"/>
        <v/>
      </c>
      <c r="R158" s="88" t="str">
        <f t="shared" si="6"/>
        <v/>
      </c>
      <c r="S158" s="88" t="str">
        <f t="shared" si="6"/>
        <v/>
      </c>
      <c r="T158" s="52"/>
      <c r="U158" s="52"/>
      <c r="V158" s="52"/>
      <c r="W158" s="52"/>
      <c r="X158" s="42"/>
      <c r="Y158" s="42"/>
      <c r="Z158" s="42"/>
      <c r="AA158" s="42"/>
      <c r="AB158" s="42"/>
      <c r="AC158" s="42"/>
    </row>
    <row r="159" spans="1:29" hidden="1" outlineLevel="1">
      <c r="A159" s="42"/>
      <c r="B159" s="52"/>
      <c r="C159" s="52" t="str">
        <f t="shared" ref="C159:J159" si="10">MID($C$155,C153,1)</f>
        <v/>
      </c>
      <c r="D159" s="52" t="str">
        <f t="shared" si="10"/>
        <v/>
      </c>
      <c r="E159" s="52" t="str">
        <f t="shared" si="10"/>
        <v/>
      </c>
      <c r="F159" s="52" t="str">
        <f t="shared" si="10"/>
        <v/>
      </c>
      <c r="G159" s="52" t="str">
        <f t="shared" si="10"/>
        <v/>
      </c>
      <c r="H159" s="52" t="str">
        <f t="shared" si="10"/>
        <v/>
      </c>
      <c r="I159" s="52" t="str">
        <f t="shared" si="10"/>
        <v/>
      </c>
      <c r="J159" s="52" t="str">
        <f t="shared" si="10"/>
        <v/>
      </c>
      <c r="K159" s="52"/>
      <c r="L159" s="88" t="str">
        <f t="shared" si="8"/>
        <v/>
      </c>
      <c r="M159" s="88" t="str">
        <f t="shared" si="6"/>
        <v/>
      </c>
      <c r="N159" s="88" t="str">
        <f t="shared" si="6"/>
        <v/>
      </c>
      <c r="O159" s="88" t="str">
        <f t="shared" si="6"/>
        <v/>
      </c>
      <c r="P159" s="88" t="str">
        <f t="shared" si="6"/>
        <v/>
      </c>
      <c r="Q159" s="88" t="str">
        <f t="shared" si="6"/>
        <v/>
      </c>
      <c r="R159" s="88" t="str">
        <f t="shared" si="6"/>
        <v/>
      </c>
      <c r="S159" s="88" t="str">
        <f t="shared" si="6"/>
        <v/>
      </c>
      <c r="T159" s="52"/>
      <c r="U159" s="52"/>
      <c r="V159" s="52"/>
      <c r="W159" s="52"/>
      <c r="X159" s="42"/>
      <c r="Y159" s="42"/>
      <c r="Z159" s="42"/>
      <c r="AA159" s="42"/>
      <c r="AB159" s="42"/>
      <c r="AC159" s="42"/>
    </row>
    <row r="160" spans="1:29" hidden="1" outlineLevel="1">
      <c r="A160" s="42"/>
      <c r="B160" s="52" t="s">
        <v>26</v>
      </c>
      <c r="C160" s="52"/>
      <c r="D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42"/>
      <c r="Y160" s="42"/>
      <c r="Z160" s="42"/>
      <c r="AA160" s="42"/>
      <c r="AB160" s="42"/>
      <c r="AC160" s="42"/>
    </row>
    <row r="161" spans="1:29" hidden="1" outlineLevel="1">
      <c r="A161" s="42"/>
      <c r="B161" s="52"/>
      <c r="C161" s="52" t="str">
        <f>IF(F11="open","",C148)</f>
        <v/>
      </c>
      <c r="D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42"/>
      <c r="Y161" s="42"/>
      <c r="Z161" s="42"/>
      <c r="AA161" s="42"/>
      <c r="AB161" s="42"/>
      <c r="AC161" s="42"/>
    </row>
    <row r="162" spans="1:29" hidden="1" outlineLevel="1">
      <c r="A162" s="42"/>
      <c r="B162" s="52"/>
      <c r="C162" s="52" t="str">
        <f>MID($C$161,C150,1)</f>
        <v/>
      </c>
      <c r="D162" s="52" t="str">
        <f t="shared" ref="D162:J162" si="11">MID($C$161,D150,1)</f>
        <v/>
      </c>
      <c r="E162" s="52" t="str">
        <f t="shared" si="11"/>
        <v/>
      </c>
      <c r="F162" s="52" t="str">
        <f t="shared" si="11"/>
        <v/>
      </c>
      <c r="G162" s="52" t="str">
        <f t="shared" si="11"/>
        <v/>
      </c>
      <c r="H162" s="52" t="str">
        <f t="shared" si="11"/>
        <v/>
      </c>
      <c r="I162" s="52" t="str">
        <f t="shared" si="11"/>
        <v/>
      </c>
      <c r="J162" s="52" t="str">
        <f t="shared" si="11"/>
        <v/>
      </c>
      <c r="K162" s="52"/>
      <c r="L162" s="88" t="str">
        <f>IF(ISERR(CODE(C162)),"","0x"&amp;DEC2HEX(CODE(C162))&amp;", ")</f>
        <v/>
      </c>
      <c r="M162" s="88" t="str">
        <f t="shared" ref="M162:M165" si="12">IF(ISERR(CODE(D162)),"","0x"&amp;DEC2HEX(CODE(D162))&amp;", ")</f>
        <v/>
      </c>
      <c r="N162" s="88" t="str">
        <f t="shared" ref="N162:N165" si="13">IF(ISERR(CODE(E162)),"","0x"&amp;DEC2HEX(CODE(E162))&amp;", ")</f>
        <v/>
      </c>
      <c r="O162" s="88" t="str">
        <f t="shared" ref="O162:O165" si="14">IF(ISERR(CODE(F162)),"","0x"&amp;DEC2HEX(CODE(F162))&amp;", ")</f>
        <v/>
      </c>
      <c r="P162" s="88" t="str">
        <f t="shared" ref="P162:P165" si="15">IF(ISERR(CODE(G162)),"","0x"&amp;DEC2HEX(CODE(G162))&amp;", ")</f>
        <v/>
      </c>
      <c r="Q162" s="88" t="str">
        <f t="shared" ref="Q162:Q165" si="16">IF(ISERR(CODE(H162)),"","0x"&amp;DEC2HEX(CODE(H162))&amp;", ")</f>
        <v/>
      </c>
      <c r="R162" s="88" t="str">
        <f t="shared" ref="R162:R165" si="17">IF(ISERR(CODE(I162)),"","0x"&amp;DEC2HEX(CODE(I162))&amp;", ")</f>
        <v/>
      </c>
      <c r="S162" s="88" t="str">
        <f t="shared" ref="S162:S165" si="18">IF(ISERR(CODE(J162)),"","0x"&amp;DEC2HEX(CODE(J162))&amp;", ")</f>
        <v/>
      </c>
      <c r="T162" s="52"/>
      <c r="U162" s="52"/>
      <c r="V162" s="52"/>
      <c r="W162" s="52"/>
      <c r="X162" s="42"/>
      <c r="Y162" s="42"/>
      <c r="Z162" s="42"/>
      <c r="AA162" s="42"/>
      <c r="AB162" s="42"/>
      <c r="AC162" s="42"/>
    </row>
    <row r="163" spans="1:29" hidden="1" outlineLevel="1">
      <c r="A163" s="42"/>
      <c r="B163" s="52"/>
      <c r="C163" s="52" t="str">
        <f t="shared" ref="C163:J163" si="19">MID($C$161,C151,1)</f>
        <v/>
      </c>
      <c r="D163" s="52" t="str">
        <f t="shared" si="19"/>
        <v/>
      </c>
      <c r="E163" s="52" t="str">
        <f t="shared" si="19"/>
        <v/>
      </c>
      <c r="F163" s="52" t="str">
        <f t="shared" si="19"/>
        <v/>
      </c>
      <c r="G163" s="52" t="str">
        <f t="shared" si="19"/>
        <v/>
      </c>
      <c r="H163" s="52" t="str">
        <f t="shared" si="19"/>
        <v/>
      </c>
      <c r="I163" s="52" t="str">
        <f t="shared" si="19"/>
        <v/>
      </c>
      <c r="J163" s="52" t="str">
        <f t="shared" si="19"/>
        <v/>
      </c>
      <c r="K163" s="52"/>
      <c r="L163" s="88" t="str">
        <f t="shared" ref="L163:L165" si="20">IF(ISERR(CODE(C163)),"","0x"&amp;DEC2HEX(CODE(C163))&amp;", ")</f>
        <v/>
      </c>
      <c r="M163" s="88" t="str">
        <f t="shared" si="12"/>
        <v/>
      </c>
      <c r="N163" s="88" t="str">
        <f t="shared" si="13"/>
        <v/>
      </c>
      <c r="O163" s="88" t="str">
        <f t="shared" si="14"/>
        <v/>
      </c>
      <c r="P163" s="88" t="str">
        <f t="shared" si="15"/>
        <v/>
      </c>
      <c r="Q163" s="88" t="str">
        <f t="shared" si="16"/>
        <v/>
      </c>
      <c r="R163" s="88" t="str">
        <f t="shared" si="17"/>
        <v/>
      </c>
      <c r="S163" s="88" t="str">
        <f t="shared" si="18"/>
        <v/>
      </c>
      <c r="T163" s="52"/>
      <c r="U163" s="52"/>
      <c r="V163" s="52"/>
      <c r="W163" s="52"/>
      <c r="X163" s="42"/>
      <c r="Y163" s="42"/>
      <c r="Z163" s="42"/>
      <c r="AA163" s="42"/>
      <c r="AB163" s="42"/>
      <c r="AC163" s="42"/>
    </row>
    <row r="164" spans="1:29" hidden="1" outlineLevel="1">
      <c r="A164" s="42"/>
      <c r="B164" s="52"/>
      <c r="C164" s="52" t="str">
        <f t="shared" ref="C164:J164" si="21">MID($C$161,C152,1)</f>
        <v/>
      </c>
      <c r="D164" s="52" t="str">
        <f t="shared" si="21"/>
        <v/>
      </c>
      <c r="E164" s="52" t="str">
        <f t="shared" si="21"/>
        <v/>
      </c>
      <c r="F164" s="52" t="str">
        <f t="shared" si="21"/>
        <v/>
      </c>
      <c r="G164" s="52" t="str">
        <f t="shared" si="21"/>
        <v/>
      </c>
      <c r="H164" s="52" t="str">
        <f t="shared" si="21"/>
        <v/>
      </c>
      <c r="I164" s="52" t="str">
        <f t="shared" si="21"/>
        <v/>
      </c>
      <c r="J164" s="52" t="str">
        <f t="shared" si="21"/>
        <v/>
      </c>
      <c r="K164" s="52"/>
      <c r="L164" s="88" t="str">
        <f t="shared" si="20"/>
        <v/>
      </c>
      <c r="M164" s="88" t="str">
        <f t="shared" si="12"/>
        <v/>
      </c>
      <c r="N164" s="88" t="str">
        <f t="shared" si="13"/>
        <v/>
      </c>
      <c r="O164" s="88" t="str">
        <f t="shared" si="14"/>
        <v/>
      </c>
      <c r="P164" s="88" t="str">
        <f t="shared" si="15"/>
        <v/>
      </c>
      <c r="Q164" s="88" t="str">
        <f t="shared" si="16"/>
        <v/>
      </c>
      <c r="R164" s="88" t="str">
        <f t="shared" si="17"/>
        <v/>
      </c>
      <c r="S164" s="88" t="str">
        <f t="shared" si="18"/>
        <v/>
      </c>
      <c r="T164" s="52"/>
      <c r="U164" s="52"/>
      <c r="V164" s="52"/>
      <c r="W164" s="52"/>
      <c r="X164" s="42"/>
      <c r="Y164" s="42"/>
      <c r="Z164" s="42"/>
      <c r="AA164" s="42"/>
      <c r="AB164" s="42"/>
      <c r="AC164" s="42"/>
    </row>
    <row r="165" spans="1:29" hidden="1" outlineLevel="1">
      <c r="A165" s="42"/>
      <c r="B165" s="52"/>
      <c r="C165" s="52" t="str">
        <f t="shared" ref="C165:J165" si="22">MID($C$161,C153,1)</f>
        <v/>
      </c>
      <c r="D165" s="52" t="str">
        <f t="shared" si="22"/>
        <v/>
      </c>
      <c r="E165" s="52" t="str">
        <f t="shared" si="22"/>
        <v/>
      </c>
      <c r="F165" s="52" t="str">
        <f t="shared" si="22"/>
        <v/>
      </c>
      <c r="G165" s="52" t="str">
        <f t="shared" si="22"/>
        <v/>
      </c>
      <c r="H165" s="52" t="str">
        <f t="shared" si="22"/>
        <v/>
      </c>
      <c r="I165" s="52" t="str">
        <f t="shared" si="22"/>
        <v/>
      </c>
      <c r="J165" s="52" t="str">
        <f t="shared" si="22"/>
        <v/>
      </c>
      <c r="K165" s="52"/>
      <c r="L165" s="88" t="str">
        <f t="shared" si="20"/>
        <v/>
      </c>
      <c r="M165" s="88" t="str">
        <f t="shared" si="12"/>
        <v/>
      </c>
      <c r="N165" s="88" t="str">
        <f t="shared" si="13"/>
        <v/>
      </c>
      <c r="O165" s="88" t="str">
        <f t="shared" si="14"/>
        <v/>
      </c>
      <c r="P165" s="88" t="str">
        <f t="shared" si="15"/>
        <v/>
      </c>
      <c r="Q165" s="88" t="str">
        <f t="shared" si="16"/>
        <v/>
      </c>
      <c r="R165" s="88" t="str">
        <f t="shared" si="17"/>
        <v/>
      </c>
      <c r="S165" s="88" t="str">
        <f t="shared" si="18"/>
        <v/>
      </c>
      <c r="T165" s="52"/>
      <c r="U165" s="52"/>
      <c r="V165" s="52"/>
      <c r="W165" s="52"/>
      <c r="X165" s="42"/>
      <c r="Y165" s="42"/>
      <c r="Z165" s="42"/>
      <c r="AA165" s="42"/>
      <c r="AB165" s="42"/>
      <c r="AC165" s="42"/>
    </row>
    <row r="166" spans="1:29" hidden="1" outlineLevel="1">
      <c r="A166" s="42"/>
      <c r="B166" s="52"/>
      <c r="C166" s="52"/>
      <c r="D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42"/>
      <c r="Y166" s="42"/>
      <c r="Z166" s="42"/>
      <c r="AA166" s="42"/>
      <c r="AB166" s="42"/>
      <c r="AC166" s="42"/>
    </row>
    <row r="167" spans="1:29" hidden="1" outlineLevel="1">
      <c r="A167" s="42"/>
      <c r="B167" s="52" t="s">
        <v>56</v>
      </c>
      <c r="C167" s="52"/>
      <c r="D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42"/>
      <c r="Y167" s="42"/>
      <c r="Z167" s="42"/>
      <c r="AA167" s="42"/>
      <c r="AB167" s="42"/>
      <c r="AC167" s="42"/>
    </row>
    <row r="168" spans="1:29" hidden="1" outlineLevel="1">
      <c r="A168" s="42"/>
      <c r="B168" s="52"/>
      <c r="C168" s="52" t="str">
        <f>MID($C$146,C150,1)</f>
        <v>o</v>
      </c>
      <c r="D168" s="52" t="str">
        <f t="shared" ref="D168:F168" si="23">MID($C$146,D150,1)</f>
        <v>p</v>
      </c>
      <c r="E168" s="52" t="str">
        <f t="shared" si="23"/>
        <v>e</v>
      </c>
      <c r="F168" s="52" t="str">
        <f t="shared" si="23"/>
        <v>n</v>
      </c>
      <c r="G168" s="52"/>
      <c r="H168" s="52"/>
      <c r="I168" s="52"/>
      <c r="J168" s="52"/>
      <c r="K168" s="52"/>
      <c r="L168" s="88" t="str">
        <f>IF(ISERR(CODE(C168)),"","0x"&amp;DEC2HEX(CODE(C168))&amp;", ")</f>
        <v xml:space="preserve">0x6F, </v>
      </c>
      <c r="M168" s="88" t="str">
        <f t="shared" ref="M168" si="24">IF(ISERR(CODE(D168)),"","0x"&amp;DEC2HEX(CODE(D168))&amp;", ")</f>
        <v xml:space="preserve">0x70, </v>
      </c>
      <c r="N168" s="88" t="str">
        <f t="shared" ref="N168" si="25">IF(ISERR(CODE(E168)),"","0x"&amp;DEC2HEX(CODE(E168))&amp;", ")</f>
        <v xml:space="preserve">0x65, </v>
      </c>
      <c r="O168" s="88" t="str">
        <f t="shared" ref="O168" si="26">IF(ISERR(CODE(F168)),"","0x"&amp;DEC2HEX(CODE(F168))&amp;", ")</f>
        <v xml:space="preserve">0x6E, </v>
      </c>
      <c r="P168" s="52"/>
      <c r="Q168" s="52"/>
      <c r="R168" s="52"/>
      <c r="S168" s="52"/>
      <c r="T168" s="52"/>
      <c r="U168" s="52"/>
      <c r="V168" s="52"/>
      <c r="W168" s="52"/>
      <c r="X168" s="42"/>
      <c r="Y168" s="42"/>
      <c r="Z168" s="42"/>
      <c r="AA168" s="42"/>
      <c r="AB168" s="42"/>
      <c r="AC168" s="42"/>
    </row>
    <row r="169" spans="1:29" hidden="1" outlineLevel="1">
      <c r="A169" s="42"/>
      <c r="B169" s="52"/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42"/>
      <c r="Y169" s="42"/>
      <c r="Z169" s="42"/>
      <c r="AA169" s="42"/>
      <c r="AB169" s="42"/>
      <c r="AC169" s="42"/>
    </row>
    <row r="170" spans="1:29" hidden="1" outlineLevel="1">
      <c r="A170" s="42"/>
      <c r="B170" s="52"/>
      <c r="C170" s="52" t="s">
        <v>29</v>
      </c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42"/>
      <c r="Y170" s="42"/>
      <c r="Z170" s="42"/>
      <c r="AA170" s="42"/>
      <c r="AB170" s="42"/>
      <c r="AC170" s="42"/>
    </row>
    <row r="171" spans="1:29" hidden="1" outlineLevel="1">
      <c r="A171" s="42"/>
      <c r="B171" s="52"/>
      <c r="C171" s="52" t="str">
        <f t="shared" ref="C171:I171" si="27">MID($C$170,C150,1)</f>
        <v>w</v>
      </c>
      <c r="D171" s="52" t="str">
        <f t="shared" si="27"/>
        <v>i</v>
      </c>
      <c r="E171" s="52" t="str">
        <f t="shared" si="27"/>
        <v>f</v>
      </c>
      <c r="F171" s="52" t="str">
        <f t="shared" si="27"/>
        <v>i</v>
      </c>
      <c r="G171" s="52" t="str">
        <f t="shared" si="27"/>
        <v>:</v>
      </c>
      <c r="H171" s="52" t="str">
        <f t="shared" si="27"/>
        <v>/</v>
      </c>
      <c r="I171" s="52" t="str">
        <f t="shared" si="27"/>
        <v>/</v>
      </c>
      <c r="J171" s="52"/>
      <c r="K171" s="52"/>
      <c r="L171" s="88" t="str">
        <f>IF(ISERR(CODE(C171)),"","0x"&amp;DEC2HEX(CODE(C171))&amp;", ")</f>
        <v xml:space="preserve">0x77, </v>
      </c>
      <c r="M171" s="88" t="str">
        <f t="shared" ref="M171" si="28">IF(ISERR(CODE(D171)),"","0x"&amp;DEC2HEX(CODE(D171))&amp;", ")</f>
        <v xml:space="preserve">0x69, </v>
      </c>
      <c r="N171" s="88" t="str">
        <f t="shared" ref="N171" si="29">IF(ISERR(CODE(E171)),"","0x"&amp;DEC2HEX(CODE(E171))&amp;", ")</f>
        <v xml:space="preserve">0x66, </v>
      </c>
      <c r="O171" s="88" t="str">
        <f t="shared" ref="O171" si="30">IF(ISERR(CODE(F171)),"","0x"&amp;DEC2HEX(CODE(F171))&amp;", ")</f>
        <v xml:space="preserve">0x69, </v>
      </c>
      <c r="P171" s="88" t="str">
        <f t="shared" ref="P171" si="31">IF(ISERR(CODE(G171)),"","0x"&amp;DEC2HEX(CODE(G171))&amp;", ")</f>
        <v xml:space="preserve">0x3A, </v>
      </c>
      <c r="Q171" s="88" t="str">
        <f t="shared" ref="Q171" si="32">IF(ISERR(CODE(H171)),"","0x"&amp;DEC2HEX(CODE(H171))&amp;", ")</f>
        <v xml:space="preserve">0x2F, </v>
      </c>
      <c r="R171" s="88" t="str">
        <f t="shared" ref="R171" si="33">IF(ISERR(CODE(I171)),"","0x"&amp;DEC2HEX(CODE(I171))&amp;", ")</f>
        <v xml:space="preserve">0x2F, </v>
      </c>
      <c r="S171" s="52"/>
      <c r="T171" s="52"/>
      <c r="U171" s="52"/>
      <c r="V171" s="52"/>
      <c r="W171" s="52"/>
      <c r="X171" s="42"/>
      <c r="Y171" s="42"/>
      <c r="Z171" s="42"/>
      <c r="AA171" s="42"/>
      <c r="AB171" s="42"/>
      <c r="AC171" s="42"/>
    </row>
    <row r="172" spans="1:29" hidden="1" outlineLevel="1">
      <c r="A172" s="42"/>
      <c r="B172" s="52"/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42"/>
      <c r="Y172" s="42"/>
      <c r="Z172" s="42"/>
      <c r="AA172" s="42"/>
      <c r="AB172" s="42"/>
      <c r="AC172" s="42"/>
    </row>
    <row r="173" spans="1:29" hidden="1" outlineLevel="1">
      <c r="A173" s="42"/>
      <c r="B173" s="52"/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42"/>
      <c r="Y173" s="42"/>
      <c r="Z173" s="42"/>
      <c r="AA173" s="42"/>
      <c r="AB173" s="42"/>
      <c r="AC173" s="42"/>
    </row>
    <row r="174" spans="1:29" hidden="1" outlineLevel="1">
      <c r="A174" s="42"/>
      <c r="B174" s="52" t="s">
        <v>43</v>
      </c>
      <c r="C174" s="52"/>
      <c r="D174" s="52" t="s">
        <v>38</v>
      </c>
      <c r="E174" s="52" t="s">
        <v>40</v>
      </c>
      <c r="F174" s="52"/>
      <c r="G174" s="52" t="s">
        <v>45</v>
      </c>
      <c r="H174" s="52">
        <f>F21</f>
        <v>0</v>
      </c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42"/>
      <c r="Y174" s="42"/>
      <c r="Z174" s="42"/>
      <c r="AA174" s="42"/>
      <c r="AB174" s="42"/>
      <c r="AC174" s="42"/>
    </row>
    <row r="175" spans="1:29" hidden="1" outlineLevel="1">
      <c r="A175" s="42"/>
      <c r="B175" s="52" t="s">
        <v>44</v>
      </c>
      <c r="C175" s="52"/>
      <c r="D175" s="52" t="s">
        <v>41</v>
      </c>
      <c r="E175" s="52" t="s">
        <v>42</v>
      </c>
      <c r="F175" s="52"/>
      <c r="G175" s="52" t="s">
        <v>37</v>
      </c>
      <c r="H175" s="52" t="str">
        <f>F23</f>
        <v>Off</v>
      </c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42"/>
      <c r="Y175" s="42"/>
      <c r="Z175" s="42"/>
      <c r="AA175" s="42"/>
      <c r="AB175" s="42"/>
      <c r="AC175" s="42"/>
    </row>
    <row r="176" spans="1:29" hidden="1" outlineLevel="1">
      <c r="A176" s="42"/>
      <c r="B176" s="52"/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42"/>
      <c r="Y176" s="42"/>
      <c r="Z176" s="42"/>
      <c r="AA176" s="42"/>
      <c r="AB176" s="42"/>
      <c r="AC176" s="42"/>
    </row>
    <row r="177" spans="1:29" hidden="1" outlineLevel="1">
      <c r="A177" s="42"/>
      <c r="B177" s="52"/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42"/>
      <c r="Y177" s="42"/>
      <c r="Z177" s="42"/>
      <c r="AA177" s="42"/>
      <c r="AB177" s="42"/>
      <c r="AC177" s="42"/>
    </row>
    <row r="178" spans="1:29" hidden="1" outlineLevel="1">
      <c r="A178" s="42"/>
      <c r="B178" s="52"/>
      <c r="C178" s="52" t="s">
        <v>69</v>
      </c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42"/>
      <c r="Y178" s="42"/>
      <c r="Z178" s="42"/>
      <c r="AA178" s="42"/>
      <c r="AB178" s="42"/>
      <c r="AC178" s="42"/>
    </row>
    <row r="179" spans="1:29" hidden="1" outlineLevel="1">
      <c r="A179" s="42"/>
      <c r="B179" s="52"/>
      <c r="C179" s="52"/>
      <c r="D179" s="52" t="s">
        <v>70</v>
      </c>
      <c r="E179" s="52"/>
      <c r="F179" s="52">
        <v>1</v>
      </c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42"/>
      <c r="Y179" s="42"/>
      <c r="Z179" s="42"/>
      <c r="AA179" s="42"/>
      <c r="AB179" s="42"/>
      <c r="AC179" s="42"/>
    </row>
    <row r="180" spans="1:29" hidden="1" outlineLevel="1">
      <c r="A180" s="42"/>
      <c r="B180" s="52"/>
      <c r="C180" s="52"/>
      <c r="D180" s="52" t="s">
        <v>71</v>
      </c>
      <c r="E180" s="52"/>
      <c r="F180" s="52">
        <f>COUNTA(L171:R171)-COUNTIF(L171:R171,"")</f>
        <v>7</v>
      </c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42"/>
      <c r="Y180" s="42"/>
      <c r="Z180" s="42"/>
      <c r="AA180" s="42"/>
      <c r="AB180" s="42"/>
      <c r="AC180" s="42"/>
    </row>
    <row r="181" spans="1:29" hidden="1" outlineLevel="1">
      <c r="A181" s="42"/>
      <c r="B181" s="52"/>
      <c r="C181" s="52"/>
      <c r="D181" s="52" t="s">
        <v>72</v>
      </c>
      <c r="E181" s="52"/>
      <c r="F181" s="52">
        <f>COUNTA(L156:S159)-COUNTIF(L156:S159,"")</f>
        <v>6</v>
      </c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42"/>
      <c r="Y181" s="42"/>
      <c r="Z181" s="42"/>
      <c r="AA181" s="42"/>
      <c r="AB181" s="42"/>
      <c r="AC181" s="42"/>
    </row>
    <row r="182" spans="1:29" hidden="1" outlineLevel="1">
      <c r="A182" s="42"/>
      <c r="B182" s="52"/>
      <c r="C182" s="52"/>
      <c r="D182" s="52" t="s">
        <v>73</v>
      </c>
      <c r="E182" s="52"/>
      <c r="F182" s="52">
        <v>1</v>
      </c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42"/>
      <c r="Y182" s="42"/>
      <c r="Z182" s="42"/>
      <c r="AA182" s="42"/>
      <c r="AB182" s="42"/>
      <c r="AC182" s="42"/>
    </row>
    <row r="183" spans="1:29" hidden="1" outlineLevel="1">
      <c r="A183" s="42"/>
      <c r="B183" s="52"/>
      <c r="C183" s="52"/>
      <c r="D183" s="52" t="s">
        <v>74</v>
      </c>
      <c r="E183" s="52"/>
      <c r="F183" s="52">
        <f>COUNTA(L168:O168)-COUNTIF(L168:O168,"")</f>
        <v>4</v>
      </c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42"/>
      <c r="Y183" s="42"/>
      <c r="Z183" s="42"/>
      <c r="AA183" s="42"/>
      <c r="AB183" s="42"/>
      <c r="AC183" s="42"/>
    </row>
    <row r="184" spans="1:29" hidden="1" outlineLevel="1">
      <c r="A184" s="42"/>
      <c r="B184" s="52"/>
      <c r="C184" s="52"/>
      <c r="D184" s="52" t="s">
        <v>75</v>
      </c>
      <c r="E184" s="52"/>
      <c r="F184" s="52">
        <f>IF(F11="open",0,1)</f>
        <v>0</v>
      </c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42"/>
      <c r="Y184" s="42"/>
      <c r="Z184" s="42"/>
      <c r="AA184" s="42"/>
      <c r="AB184" s="42"/>
      <c r="AC184" s="42"/>
    </row>
    <row r="185" spans="1:29" hidden="1" outlineLevel="1">
      <c r="A185" s="42"/>
      <c r="B185" s="52"/>
      <c r="C185" s="52"/>
      <c r="D185" s="52" t="s">
        <v>76</v>
      </c>
      <c r="E185" s="52"/>
      <c r="F185" s="52">
        <f>IF(F11="open",0,COUNTA(L162:S165)-COUNTIF(L162:S165,""))</f>
        <v>0</v>
      </c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42"/>
      <c r="Y185" s="42"/>
      <c r="Z185" s="42"/>
      <c r="AA185" s="42"/>
      <c r="AB185" s="42"/>
      <c r="AC185" s="42"/>
    </row>
    <row r="186" spans="1:29" hidden="1" outlineLevel="1">
      <c r="A186" s="42"/>
      <c r="B186" s="52"/>
      <c r="C186" s="52"/>
      <c r="D186" s="52" t="s">
        <v>77</v>
      </c>
      <c r="E186" s="52"/>
      <c r="F186" s="52">
        <f>SUM(F179:F185)</f>
        <v>19</v>
      </c>
      <c r="G186" s="52"/>
      <c r="H186" s="52"/>
      <c r="I186" s="52"/>
      <c r="J186" s="52"/>
      <c r="K186" s="52"/>
      <c r="L186" s="52" t="str">
        <f>"0x"&amp;DEC2HEX(F186)&amp;","</f>
        <v>0x13,</v>
      </c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42"/>
      <c r="Y186" s="42"/>
      <c r="Z186" s="42"/>
      <c r="AA186" s="42"/>
      <c r="AB186" s="42"/>
      <c r="AC186" s="42"/>
    </row>
    <row r="187" spans="1:29" hidden="1" outlineLevel="1">
      <c r="A187" s="42"/>
      <c r="B187" s="52"/>
      <c r="C187" s="52"/>
      <c r="D187" s="52"/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42"/>
      <c r="Y187" s="42"/>
      <c r="Z187" s="42"/>
      <c r="AA187" s="42"/>
      <c r="AB187" s="42"/>
      <c r="AC187" s="42"/>
    </row>
    <row r="188" spans="1:29" hidden="1" outlineLevel="1">
      <c r="A188" s="42"/>
      <c r="B188" s="52"/>
      <c r="C188" s="52" t="s">
        <v>78</v>
      </c>
      <c r="D188" s="52"/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42"/>
      <c r="Y188" s="42"/>
      <c r="Z188" s="42"/>
      <c r="AA188" s="42"/>
      <c r="AB188" s="42"/>
      <c r="AC188" s="42"/>
    </row>
    <row r="189" spans="1:29" hidden="1" outlineLevel="1">
      <c r="A189" s="42"/>
      <c r="B189" s="52"/>
      <c r="C189" s="52"/>
      <c r="D189" s="52" t="s">
        <v>82</v>
      </c>
      <c r="E189" s="52"/>
      <c r="F189" s="52">
        <v>1</v>
      </c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42"/>
      <c r="Y189" s="42"/>
      <c r="Z189" s="42"/>
      <c r="AA189" s="42"/>
      <c r="AB189" s="42"/>
      <c r="AC189" s="42"/>
    </row>
    <row r="190" spans="1:29" hidden="1" outlineLevel="1">
      <c r="A190" s="42"/>
      <c r="B190" s="52"/>
      <c r="C190" s="52"/>
      <c r="D190" s="52" t="s">
        <v>81</v>
      </c>
      <c r="E190" s="52"/>
      <c r="F190" s="52">
        <v>1</v>
      </c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42"/>
      <c r="Y190" s="42"/>
      <c r="Z190" s="42"/>
      <c r="AA190" s="42"/>
      <c r="AB190" s="42"/>
      <c r="AC190" s="42"/>
    </row>
    <row r="191" spans="1:29" hidden="1" outlineLevel="1">
      <c r="A191" s="42"/>
      <c r="B191" s="52"/>
      <c r="C191" s="52"/>
      <c r="D191" s="52" t="s">
        <v>80</v>
      </c>
      <c r="E191" s="52"/>
      <c r="F191" s="52">
        <v>1</v>
      </c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42"/>
      <c r="Y191" s="42"/>
      <c r="Z191" s="42"/>
      <c r="AA191" s="42"/>
      <c r="AB191" s="42"/>
      <c r="AC191" s="42"/>
    </row>
    <row r="192" spans="1:29" hidden="1" outlineLevel="1">
      <c r="A192" s="42"/>
      <c r="B192" s="52"/>
      <c r="C192" s="52"/>
      <c r="D192" s="52" t="s">
        <v>83</v>
      </c>
      <c r="E192" s="52"/>
      <c r="F192" s="52">
        <v>1</v>
      </c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42"/>
      <c r="Y192" s="42"/>
      <c r="Z192" s="42"/>
      <c r="AA192" s="42"/>
      <c r="AB192" s="42"/>
      <c r="AC192" s="42"/>
    </row>
    <row r="193" spans="1:29" hidden="1" outlineLevel="1">
      <c r="A193" s="42"/>
      <c r="B193" s="52"/>
      <c r="C193" s="52"/>
      <c r="D193" s="52" t="s">
        <v>79</v>
      </c>
      <c r="E193" s="52"/>
      <c r="F193" s="52">
        <f>F186</f>
        <v>19</v>
      </c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42"/>
      <c r="Y193" s="42"/>
      <c r="Z193" s="42"/>
      <c r="AA193" s="42"/>
      <c r="AB193" s="42"/>
      <c r="AC193" s="42"/>
    </row>
    <row r="194" spans="1:29" hidden="1" outlineLevel="1">
      <c r="A194" s="42"/>
      <c r="B194" s="52"/>
      <c r="C194" s="52"/>
      <c r="D194" s="52" t="s">
        <v>77</v>
      </c>
      <c r="E194" s="52"/>
      <c r="F194" s="52">
        <f>SUM(F189:F193)</f>
        <v>23</v>
      </c>
      <c r="G194" s="52"/>
      <c r="H194" s="52"/>
      <c r="I194" s="52"/>
      <c r="J194" s="52"/>
      <c r="K194" s="52"/>
      <c r="L194" s="52" t="str">
        <f>"0x"&amp;DEC2HEX(F194)&amp;","</f>
        <v>0x17,</v>
      </c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42"/>
      <c r="Y194" s="42"/>
      <c r="Z194" s="42"/>
      <c r="AA194" s="42"/>
      <c r="AB194" s="42"/>
      <c r="AC194" s="42"/>
    </row>
    <row r="195" spans="1:29" hidden="1" outlineLevel="1">
      <c r="A195" s="42"/>
      <c r="B195" s="52"/>
      <c r="C195" s="52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42"/>
      <c r="Y195" s="42"/>
      <c r="Z195" s="42"/>
      <c r="AA195" s="42"/>
      <c r="AB195" s="42"/>
      <c r="AC195" s="42"/>
    </row>
    <row r="196" spans="1:29" hidden="1" outlineLevel="1">
      <c r="A196" s="42"/>
      <c r="B196" s="52"/>
      <c r="C196" s="52"/>
      <c r="D196" s="52"/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42"/>
      <c r="Y196" s="42"/>
      <c r="Z196" s="42"/>
      <c r="AA196" s="42"/>
      <c r="AB196" s="42"/>
      <c r="AC196" s="42"/>
    </row>
    <row r="197" spans="1:29" hidden="1" outlineLevel="1">
      <c r="A197" s="42"/>
      <c r="B197" s="52" t="s">
        <v>764</v>
      </c>
      <c r="C197" s="52" t="str">
        <f>IF(H175="On","    \","")</f>
        <v/>
      </c>
      <c r="D197" s="52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42"/>
      <c r="Y197" s="42"/>
      <c r="Z197" s="42"/>
      <c r="AA197" s="42"/>
      <c r="AB197" s="42"/>
      <c r="AC197" s="42"/>
    </row>
    <row r="198" spans="1:29" hidden="1" outlineLevel="1">
      <c r="A198" s="42"/>
      <c r="B198" s="52"/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42"/>
      <c r="Y198" s="42"/>
      <c r="Z198" s="42"/>
      <c r="AA198" s="42"/>
      <c r="AB198" s="42"/>
      <c r="AC198" s="42"/>
    </row>
    <row r="199" spans="1:29" hidden="1" outlineLevel="1">
      <c r="A199" s="42"/>
      <c r="B199" s="52"/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42"/>
      <c r="Y199" s="42"/>
      <c r="Z199" s="42"/>
      <c r="AA199" s="42"/>
      <c r="AB199" s="42"/>
      <c r="AC199" s="42"/>
    </row>
    <row r="200" spans="1:29" hidden="1" outlineLevel="1">
      <c r="A200" s="42"/>
      <c r="B200" s="52"/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42"/>
      <c r="Y200" s="42"/>
      <c r="Z200" s="42"/>
      <c r="AA200" s="42"/>
      <c r="AB200" s="42"/>
      <c r="AC200" s="42"/>
    </row>
    <row r="201" spans="1:29" hidden="1" outlineLevel="1">
      <c r="A201" s="42"/>
      <c r="B201" s="52"/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42"/>
      <c r="Y201" s="42"/>
      <c r="Z201" s="42"/>
      <c r="AA201" s="42"/>
      <c r="AB201" s="42"/>
      <c r="AC201" s="42"/>
    </row>
    <row r="202" spans="1:29" hidden="1" outlineLevel="1">
      <c r="A202" s="42"/>
      <c r="B202" s="52"/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42"/>
      <c r="Y202" s="42"/>
      <c r="Z202" s="42"/>
      <c r="AA202" s="42"/>
      <c r="AB202" s="42"/>
      <c r="AC202" s="42"/>
    </row>
    <row r="203" spans="1:29" hidden="1" outlineLevel="1">
      <c r="A203" s="42"/>
      <c r="B203" s="52"/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42"/>
      <c r="Y203" s="42"/>
      <c r="Z203" s="42"/>
      <c r="AA203" s="42"/>
      <c r="AB203" s="42"/>
      <c r="AC203" s="42"/>
    </row>
    <row r="204" spans="1:29" collapsed="1">
      <c r="A204" s="42"/>
      <c r="B204" s="52"/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42"/>
      <c r="Y204" s="42"/>
      <c r="Z204" s="42"/>
      <c r="AA204" s="42"/>
      <c r="AB204" s="42"/>
      <c r="AC204" s="42"/>
    </row>
    <row r="205" spans="1:29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</row>
    <row r="206" spans="1:29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</row>
    <row r="207" spans="1:29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</row>
    <row r="208" spans="1:29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</row>
  </sheetData>
  <mergeCells count="3">
    <mergeCell ref="H63:J63"/>
    <mergeCell ref="F13:J13"/>
    <mergeCell ref="F9:J9"/>
  </mergeCells>
  <phoneticPr fontId="1"/>
  <dataValidations count="2">
    <dataValidation type="list" allowBlank="1" showInputMessage="1" showErrorMessage="1" sqref="F11">
      <formula1>$C$145:$E$145</formula1>
    </dataValidation>
    <dataValidation type="list" allowBlank="1" showInputMessage="1" showErrorMessage="1" sqref="F23">
      <formula1>$D$175:$E$175</formula1>
    </dataValidation>
  </dataValidations>
  <hyperlinks>
    <hyperlink ref="C5" r:id="rId1"/>
  </hyperlinks>
  <pageMargins left="0.7" right="0.7" top="0.75" bottom="0.75" header="0.3" footer="0.3"/>
  <pageSetup paperSize="9" orientation="portrait" horizontalDpi="300" verticalDpi="3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244"/>
  <sheetViews>
    <sheetView showGridLines="0" zoomScaleNormal="100" workbookViewId="0"/>
  </sheetViews>
  <sheetFormatPr defaultColWidth="9" defaultRowHeight="14.25" outlineLevelRow="1"/>
  <cols>
    <col min="1" max="15" width="9" style="42"/>
    <col min="16" max="16" width="9" style="42" customWidth="1"/>
    <col min="17" max="16384" width="9" style="42"/>
  </cols>
  <sheetData>
    <row r="1" spans="1:19">
      <c r="A1" s="42" t="s">
        <v>189</v>
      </c>
    </row>
    <row r="2" spans="1:19" ht="15" thickBot="1"/>
    <row r="3" spans="1:19" s="47" customFormat="1" ht="18">
      <c r="B3" s="107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9"/>
    </row>
    <row r="4" spans="1:19" s="47" customFormat="1" ht="18">
      <c r="B4" s="110"/>
      <c r="C4" s="111" t="s">
        <v>760</v>
      </c>
      <c r="D4" s="111"/>
      <c r="E4" s="111"/>
      <c r="F4" s="111"/>
      <c r="G4" s="111"/>
      <c r="H4" s="111"/>
      <c r="I4" s="111"/>
      <c r="J4" s="111"/>
      <c r="K4" s="111"/>
      <c r="L4" s="111"/>
      <c r="M4" s="112"/>
      <c r="O4" s="116"/>
      <c r="P4" s="116"/>
      <c r="Q4" s="116"/>
    </row>
    <row r="5" spans="1:19" s="47" customFormat="1" ht="18">
      <c r="B5" s="110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2"/>
      <c r="O5" s="127"/>
      <c r="P5" s="116"/>
      <c r="Q5" s="116"/>
    </row>
    <row r="6" spans="1:19" s="47" customFormat="1" ht="18">
      <c r="B6" s="110"/>
      <c r="C6" s="111" t="s">
        <v>772</v>
      </c>
      <c r="D6" s="111"/>
      <c r="E6" s="111"/>
      <c r="F6" s="111"/>
      <c r="G6" s="111"/>
      <c r="H6" s="111"/>
      <c r="I6" s="111"/>
      <c r="J6" s="111"/>
      <c r="K6" s="111"/>
      <c r="L6" s="111"/>
      <c r="M6" s="112"/>
      <c r="O6" s="116"/>
      <c r="P6" s="116"/>
      <c r="Q6" s="116"/>
    </row>
    <row r="7" spans="1:19" s="47" customFormat="1" ht="18">
      <c r="B7" s="110"/>
      <c r="C7" s="111" t="s">
        <v>773</v>
      </c>
      <c r="D7" s="111"/>
      <c r="E7" s="111"/>
      <c r="F7" s="111"/>
      <c r="G7" s="111"/>
      <c r="H7" s="111"/>
      <c r="I7" s="111"/>
      <c r="J7" s="111"/>
      <c r="K7" s="111"/>
      <c r="L7" s="111"/>
      <c r="M7" s="112"/>
      <c r="O7" s="116"/>
      <c r="P7" s="116"/>
      <c r="Q7" s="116"/>
    </row>
    <row r="8" spans="1:19" s="47" customFormat="1" ht="18">
      <c r="B8" s="110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2"/>
      <c r="S8" s="113"/>
    </row>
    <row r="9" spans="1:19" s="47" customFormat="1" ht="18.75" thickBot="1">
      <c r="B9" s="110"/>
      <c r="C9" s="111" t="s">
        <v>766</v>
      </c>
      <c r="D9" s="111"/>
      <c r="E9" s="111"/>
      <c r="F9" s="111"/>
      <c r="G9" s="111"/>
      <c r="H9" s="111"/>
      <c r="I9" s="111"/>
      <c r="J9" s="111"/>
      <c r="K9" s="111"/>
      <c r="L9" s="111"/>
      <c r="M9" s="112"/>
    </row>
    <row r="10" spans="1:19" s="47" customFormat="1" ht="18.75" thickBot="1">
      <c r="B10" s="110"/>
      <c r="C10" s="111"/>
      <c r="D10" s="228" t="s">
        <v>191</v>
      </c>
      <c r="E10" s="229"/>
      <c r="F10" s="229"/>
      <c r="G10" s="229"/>
      <c r="H10" s="230"/>
      <c r="I10" s="111"/>
      <c r="J10" s="111" t="s">
        <v>190</v>
      </c>
      <c r="K10" s="111"/>
      <c r="L10" s="114" t="str">
        <f>VLOOKUP(D10,C204:D239,2,FALSE)</f>
        <v>0x01</v>
      </c>
      <c r="M10" s="112"/>
    </row>
    <row r="11" spans="1:19" s="47" customFormat="1" ht="18">
      <c r="B11" s="110"/>
      <c r="C11" s="111"/>
      <c r="D11" s="115"/>
      <c r="E11" s="115"/>
      <c r="F11" s="115"/>
      <c r="G11" s="115"/>
      <c r="H11" s="115"/>
      <c r="I11" s="111"/>
      <c r="J11" s="111"/>
      <c r="K11" s="111"/>
      <c r="L11" s="111"/>
      <c r="M11" s="112"/>
    </row>
    <row r="12" spans="1:19" s="47" customFormat="1" ht="18">
      <c r="B12" s="110"/>
      <c r="C12" s="111"/>
      <c r="D12" s="111"/>
      <c r="E12" s="111"/>
      <c r="F12" s="111"/>
      <c r="G12" s="111"/>
      <c r="I12" s="111"/>
      <c r="J12" s="111"/>
      <c r="K12" s="111"/>
      <c r="L12" s="111"/>
      <c r="M12" s="112"/>
    </row>
    <row r="13" spans="1:19" s="47" customFormat="1" ht="18.75" thickBot="1">
      <c r="B13" s="110"/>
      <c r="C13" s="111" t="s">
        <v>769</v>
      </c>
      <c r="D13" s="111"/>
      <c r="E13" s="111"/>
      <c r="F13" s="111"/>
      <c r="G13" s="111"/>
      <c r="H13" s="111"/>
      <c r="I13" s="111"/>
      <c r="J13" s="111"/>
      <c r="K13" s="111"/>
      <c r="L13" s="111"/>
      <c r="M13" s="112"/>
    </row>
    <row r="14" spans="1:19" s="47" customFormat="1" ht="18">
      <c r="B14" s="110"/>
      <c r="C14" s="111"/>
      <c r="D14" s="231" t="s">
        <v>806</v>
      </c>
      <c r="E14" s="232"/>
      <c r="F14" s="232"/>
      <c r="G14" s="232"/>
      <c r="H14" s="232"/>
      <c r="I14" s="232"/>
      <c r="J14" s="233"/>
      <c r="K14" s="111"/>
      <c r="L14" s="111"/>
      <c r="M14" s="112"/>
    </row>
    <row r="15" spans="1:19" s="47" customFormat="1" ht="18.75" thickBot="1">
      <c r="B15" s="110"/>
      <c r="C15" s="111"/>
      <c r="D15" s="234"/>
      <c r="E15" s="235"/>
      <c r="F15" s="235"/>
      <c r="G15" s="235"/>
      <c r="H15" s="235"/>
      <c r="I15" s="235"/>
      <c r="J15" s="236"/>
      <c r="K15" s="111"/>
      <c r="L15" s="111"/>
      <c r="M15" s="112"/>
    </row>
    <row r="16" spans="1:19" s="47" customFormat="1" ht="18">
      <c r="B16" s="110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2"/>
    </row>
    <row r="17" spans="2:18" s="47" customFormat="1" ht="18">
      <c r="B17" s="110"/>
      <c r="C17" s="111"/>
      <c r="D17" s="123" t="s">
        <v>770</v>
      </c>
      <c r="E17" s="111"/>
      <c r="F17" s="111"/>
      <c r="G17" s="111"/>
      <c r="H17" s="111"/>
      <c r="I17" s="111"/>
      <c r="J17" s="111"/>
      <c r="K17" s="111"/>
      <c r="L17" s="111"/>
      <c r="M17" s="112"/>
    </row>
    <row r="18" spans="2:18" s="47" customFormat="1" ht="18">
      <c r="B18" s="110"/>
      <c r="C18" s="111"/>
      <c r="D18" s="123" t="s">
        <v>784</v>
      </c>
      <c r="E18" s="111"/>
      <c r="F18" s="111"/>
      <c r="G18" s="111"/>
      <c r="H18" s="111"/>
      <c r="I18" s="111"/>
      <c r="J18" s="111"/>
      <c r="K18" s="111"/>
      <c r="L18" s="111"/>
      <c r="M18" s="112"/>
    </row>
    <row r="19" spans="2:18" s="47" customFormat="1" ht="18">
      <c r="B19" s="110"/>
      <c r="C19" s="111"/>
      <c r="D19" s="123"/>
      <c r="E19" s="111"/>
      <c r="F19" s="111"/>
      <c r="G19" s="111"/>
      <c r="H19" s="111"/>
      <c r="I19" s="111"/>
      <c r="J19" s="111"/>
      <c r="K19" s="111"/>
      <c r="L19" s="111"/>
      <c r="M19" s="112"/>
    </row>
    <row r="20" spans="2:18" s="47" customFormat="1" ht="18">
      <c r="B20" s="110"/>
      <c r="C20" s="111"/>
      <c r="D20" s="123" t="s">
        <v>767</v>
      </c>
      <c r="E20" s="111"/>
      <c r="F20" s="111"/>
      <c r="G20" s="111"/>
      <c r="H20" s="111"/>
      <c r="I20" s="111"/>
      <c r="J20" s="111"/>
      <c r="K20" s="111"/>
      <c r="L20" s="111"/>
      <c r="M20" s="112"/>
    </row>
    <row r="21" spans="2:18" s="47" customFormat="1" ht="18">
      <c r="B21" s="110"/>
      <c r="C21" s="111"/>
      <c r="D21" s="123" t="s">
        <v>768</v>
      </c>
      <c r="E21" s="111"/>
      <c r="F21" s="111"/>
      <c r="G21" s="111"/>
      <c r="H21" s="111"/>
      <c r="I21" s="111"/>
      <c r="J21" s="111"/>
      <c r="K21" s="111"/>
      <c r="L21" s="111"/>
      <c r="M21" s="112"/>
      <c r="R21" s="116"/>
    </row>
    <row r="22" spans="2:18" s="47" customFormat="1" ht="18">
      <c r="B22" s="110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2"/>
    </row>
    <row r="23" spans="2:18" s="47" customFormat="1" ht="18">
      <c r="B23" s="110"/>
      <c r="C23" s="111" t="s">
        <v>762</v>
      </c>
      <c r="D23" s="111"/>
      <c r="E23" s="111"/>
      <c r="F23" s="111"/>
      <c r="G23" s="111"/>
      <c r="H23" s="111"/>
      <c r="I23" s="111"/>
      <c r="J23" s="111"/>
      <c r="K23" s="111"/>
      <c r="L23" s="111"/>
      <c r="M23" s="112"/>
    </row>
    <row r="24" spans="2:18" s="47" customFormat="1" ht="18">
      <c r="B24" s="110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2"/>
    </row>
    <row r="25" spans="2:18" s="47" customFormat="1" ht="18">
      <c r="B25" s="110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2"/>
    </row>
    <row r="26" spans="2:18" s="47" customFormat="1" ht="18.75" thickBot="1">
      <c r="B26" s="110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2"/>
    </row>
    <row r="27" spans="2:18" s="47" customFormat="1" ht="18.75" thickBot="1">
      <c r="B27" s="110"/>
      <c r="C27" s="111"/>
      <c r="D27" s="111" t="s">
        <v>36</v>
      </c>
      <c r="E27" s="111"/>
      <c r="F27" s="117" t="s">
        <v>808</v>
      </c>
      <c r="G27" s="111"/>
      <c r="H27" s="111"/>
      <c r="I27" s="111"/>
      <c r="J27" s="111"/>
      <c r="K27" s="111"/>
      <c r="L27" s="111"/>
      <c r="M27" s="112"/>
    </row>
    <row r="28" spans="2:18" s="47" customFormat="1" ht="18">
      <c r="B28" s="110"/>
      <c r="C28" s="111"/>
      <c r="D28" s="118"/>
      <c r="E28" s="118"/>
      <c r="F28" s="118"/>
      <c r="G28" s="111"/>
      <c r="H28" s="118"/>
      <c r="I28" s="118"/>
      <c r="J28" s="118"/>
      <c r="K28" s="111"/>
      <c r="L28" s="111"/>
      <c r="M28" s="112"/>
    </row>
    <row r="29" spans="2:18" s="47" customFormat="1" ht="18">
      <c r="B29" s="110"/>
      <c r="C29" s="111"/>
      <c r="D29" s="118" t="s">
        <v>763</v>
      </c>
      <c r="E29" s="118"/>
      <c r="F29" s="118"/>
      <c r="G29" s="111"/>
      <c r="H29" s="118"/>
      <c r="I29" s="118"/>
      <c r="J29" s="118"/>
      <c r="K29" s="111"/>
      <c r="L29" s="111"/>
      <c r="M29" s="112"/>
    </row>
    <row r="30" spans="2:18" s="47" customFormat="1" ht="18">
      <c r="B30" s="110"/>
      <c r="C30" s="111"/>
      <c r="D30" s="123"/>
      <c r="E30" s="111"/>
      <c r="F30" s="111"/>
      <c r="G30" s="111"/>
      <c r="H30" s="111"/>
      <c r="I30" s="111"/>
      <c r="J30" s="111"/>
      <c r="K30" s="111"/>
      <c r="L30" s="111"/>
      <c r="M30" s="112"/>
    </row>
    <row r="31" spans="2:18" s="47" customFormat="1" ht="18">
      <c r="B31" s="110"/>
      <c r="C31" s="111"/>
      <c r="D31" s="124" t="s">
        <v>803</v>
      </c>
      <c r="E31" s="111"/>
      <c r="F31" s="111"/>
      <c r="G31" s="111"/>
      <c r="H31" s="111"/>
      <c r="I31" s="111"/>
      <c r="J31" s="111"/>
      <c r="K31" s="111"/>
      <c r="L31" s="111"/>
      <c r="M31" s="112"/>
    </row>
    <row r="32" spans="2:18" s="47" customFormat="1" ht="18">
      <c r="B32" s="110"/>
      <c r="C32" s="111"/>
      <c r="D32" s="126" t="s">
        <v>756</v>
      </c>
      <c r="E32" s="111"/>
      <c r="F32" s="111"/>
      <c r="G32" s="111"/>
      <c r="H32" s="111"/>
      <c r="I32" s="111"/>
      <c r="J32" s="111"/>
      <c r="K32" s="111"/>
      <c r="L32" s="111"/>
      <c r="M32" s="112"/>
    </row>
    <row r="33" spans="2:30" s="47" customFormat="1" ht="18">
      <c r="B33" s="110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2"/>
    </row>
    <row r="34" spans="2:30" s="47" customFormat="1" ht="18.75" thickBot="1">
      <c r="B34" s="119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1"/>
    </row>
    <row r="35" spans="2:30" s="47" customFormat="1" ht="18"/>
    <row r="36" spans="2:30" s="47" customFormat="1" ht="18.75" thickBot="1"/>
    <row r="37" spans="2:30" s="47" customFormat="1" ht="18">
      <c r="B37" s="96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8"/>
      <c r="S37" s="101"/>
      <c r="T37" s="100"/>
      <c r="U37" s="100"/>
      <c r="V37" s="100"/>
      <c r="W37" s="100"/>
      <c r="X37" s="100"/>
      <c r="Y37" s="100"/>
      <c r="Z37" s="100"/>
      <c r="AA37" s="100"/>
      <c r="AB37" s="103"/>
      <c r="AC37" s="103"/>
    </row>
    <row r="38" spans="2:30" s="47" customFormat="1" ht="18">
      <c r="B38" s="18" t="s">
        <v>761</v>
      </c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2"/>
      <c r="S38" s="101"/>
      <c r="T38" s="100"/>
      <c r="U38" s="100"/>
      <c r="V38" s="100"/>
      <c r="W38" s="100"/>
      <c r="X38" s="100"/>
      <c r="Y38" s="100"/>
      <c r="Z38" s="100"/>
      <c r="AA38" s="100"/>
      <c r="AB38" s="103"/>
      <c r="AC38" s="103"/>
    </row>
    <row r="39" spans="2:30">
      <c r="B39" s="48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50"/>
      <c r="S39" s="49"/>
      <c r="T39" s="52"/>
      <c r="U39" s="52"/>
      <c r="V39" s="52"/>
      <c r="W39" s="52"/>
      <c r="X39" s="52"/>
      <c r="Y39" s="52"/>
      <c r="Z39" s="52"/>
      <c r="AA39" s="52"/>
      <c r="AB39" s="86"/>
      <c r="AC39" s="86"/>
    </row>
    <row r="40" spans="2:30" ht="15" thickBot="1">
      <c r="B40" s="48"/>
      <c r="C40" s="49"/>
      <c r="D40" s="49"/>
      <c r="E40" s="49"/>
      <c r="F40" s="49"/>
      <c r="G40" s="49"/>
      <c r="H40" s="49"/>
      <c r="I40" s="49"/>
      <c r="J40" s="49"/>
      <c r="K40" s="49"/>
      <c r="L40" s="49" t="s">
        <v>94</v>
      </c>
      <c r="M40" s="49"/>
      <c r="N40" s="49"/>
      <c r="O40" s="49"/>
      <c r="P40" s="49"/>
      <c r="Q40" s="49"/>
      <c r="R40" s="50"/>
      <c r="S40" s="49"/>
      <c r="T40" s="52" t="str">
        <f>L40&amp;$C$199</f>
        <v>#define RF430_APP_DATA {    \</v>
      </c>
      <c r="U40" s="52"/>
      <c r="V40" s="52"/>
      <c r="W40" s="52"/>
      <c r="X40" s="52"/>
      <c r="Y40" s="52"/>
      <c r="Z40" s="52"/>
      <c r="AA40" s="52"/>
      <c r="AB40" s="86"/>
      <c r="AC40" s="86"/>
    </row>
    <row r="41" spans="2:30" ht="15" thickBot="1">
      <c r="B41" s="54" t="s">
        <v>31</v>
      </c>
      <c r="C41" s="55"/>
      <c r="D41" s="55"/>
      <c r="E41" s="55"/>
      <c r="F41" s="55"/>
      <c r="G41" s="55"/>
      <c r="H41" s="55"/>
      <c r="I41" s="55"/>
      <c r="J41" s="56"/>
      <c r="K41" s="49"/>
      <c r="L41" s="49" t="s">
        <v>30</v>
      </c>
      <c r="M41" s="49"/>
      <c r="N41" s="49"/>
      <c r="O41" s="49"/>
      <c r="P41" s="49"/>
      <c r="Q41" s="49"/>
      <c r="R41" s="50"/>
      <c r="S41" s="49"/>
      <c r="T41" s="52" t="str">
        <f>C41&amp;D41&amp;E41&amp;F41&amp;G41&amp;H41&amp;I41&amp;J41&amp;"    "&amp;L41&amp;$C$199</f>
        <v xml:space="preserve">    /*NDEF Tag Application */    \</v>
      </c>
      <c r="U41" s="52"/>
      <c r="V41" s="52"/>
      <c r="W41" s="52"/>
      <c r="X41" s="52"/>
      <c r="Y41" s="52"/>
      <c r="Z41" s="52"/>
      <c r="AA41" s="52"/>
      <c r="AB41" s="86"/>
      <c r="AC41" s="86"/>
    </row>
    <row r="42" spans="2:30" ht="15" thickBot="1">
      <c r="B42" s="57"/>
      <c r="C42" s="58" t="s">
        <v>98</v>
      </c>
      <c r="D42" s="59" t="s">
        <v>99</v>
      </c>
      <c r="E42" s="59" t="s">
        <v>100</v>
      </c>
      <c r="F42" s="59" t="s">
        <v>100</v>
      </c>
      <c r="G42" s="59" t="s">
        <v>101</v>
      </c>
      <c r="H42" s="59" t="s">
        <v>102</v>
      </c>
      <c r="I42" s="60" t="s">
        <v>102</v>
      </c>
      <c r="J42" s="61"/>
      <c r="K42" s="49"/>
      <c r="M42" s="49"/>
      <c r="N42" s="49"/>
      <c r="O42" s="49"/>
      <c r="P42" s="49"/>
      <c r="Q42" s="49"/>
      <c r="R42" s="50"/>
      <c r="S42" s="51"/>
      <c r="T42" s="52" t="str">
        <f>"    "&amp;C42&amp;D42&amp;E42&amp;F42&amp;G42&amp;H42&amp;I42&amp;"    "&amp;L42&amp;$C$199</f>
        <v xml:space="preserve">    0xD2, 0x76, 0x00, 0x00, 0x85, 0x01, 0x01,         \</v>
      </c>
      <c r="U42" s="52"/>
      <c r="V42" s="52"/>
      <c r="W42" s="52"/>
      <c r="X42" s="52"/>
      <c r="Y42" s="52"/>
      <c r="Z42" s="52"/>
      <c r="AA42" s="52"/>
      <c r="AB42" s="53"/>
      <c r="AC42" s="53"/>
      <c r="AD42" s="53"/>
    </row>
    <row r="43" spans="2:30" ht="15" thickBot="1">
      <c r="B43" s="48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50"/>
      <c r="S43" s="51"/>
      <c r="T43" s="52" t="str">
        <f>"    "&amp;C43&amp;D43&amp;E43&amp;F43&amp;G43&amp;H43&amp;I43&amp;J43&amp;"    "&amp;L43&amp;$C$199</f>
        <v xml:space="preserve">            \</v>
      </c>
      <c r="U43" s="52"/>
      <c r="V43" s="52"/>
      <c r="W43" s="52"/>
      <c r="X43" s="52"/>
      <c r="Y43" s="52"/>
      <c r="Z43" s="52"/>
      <c r="AA43" s="52"/>
      <c r="AB43" s="53"/>
      <c r="AC43" s="53"/>
      <c r="AD43" s="53"/>
    </row>
    <row r="44" spans="2:30" ht="15" thickBot="1">
      <c r="B44" s="54" t="s">
        <v>33</v>
      </c>
      <c r="C44" s="55"/>
      <c r="D44" s="55"/>
      <c r="E44" s="55"/>
      <c r="F44" s="55"/>
      <c r="G44" s="55"/>
      <c r="H44" s="55"/>
      <c r="I44" s="55"/>
      <c r="J44" s="56"/>
      <c r="K44" s="49"/>
      <c r="L44" s="49"/>
      <c r="M44" s="49"/>
      <c r="N44" s="49"/>
      <c r="O44" s="49"/>
      <c r="P44" s="49"/>
      <c r="Q44" s="49"/>
      <c r="R44" s="50"/>
      <c r="S44" s="51"/>
      <c r="T44" s="52"/>
      <c r="U44" s="52"/>
      <c r="V44" s="52"/>
      <c r="W44" s="52"/>
      <c r="X44" s="52"/>
      <c r="Y44" s="52"/>
      <c r="Z44" s="52"/>
      <c r="AA44" s="52"/>
      <c r="AB44" s="53"/>
      <c r="AC44" s="53"/>
      <c r="AD44" s="53"/>
    </row>
    <row r="45" spans="2:30" ht="15" thickBot="1">
      <c r="B45" s="57"/>
      <c r="C45" s="58" t="s">
        <v>103</v>
      </c>
      <c r="D45" s="60" t="s">
        <v>104</v>
      </c>
      <c r="E45" s="62"/>
      <c r="F45" s="62"/>
      <c r="G45" s="62"/>
      <c r="H45" s="62"/>
      <c r="I45" s="62"/>
      <c r="J45" s="61"/>
      <c r="K45" s="49"/>
      <c r="L45" s="49" t="s">
        <v>9</v>
      </c>
      <c r="M45" s="49"/>
      <c r="N45" s="49"/>
      <c r="O45" s="49"/>
      <c r="P45" s="49"/>
      <c r="Q45" s="49"/>
      <c r="R45" s="50"/>
      <c r="S45" s="51"/>
      <c r="T45" s="52" t="str">
        <f>"    "&amp;C45&amp;D45&amp;E45&amp;F45&amp;G45&amp;H45&amp;I45&amp;J45&amp;"    "&amp;L45&amp;$C$199</f>
        <v xml:space="preserve">    0xE1, 0x03,     /*Capability Container ID*/     \</v>
      </c>
      <c r="U45" s="52"/>
      <c r="V45" s="52"/>
      <c r="W45" s="52"/>
      <c r="X45" s="52"/>
      <c r="Y45" s="52"/>
      <c r="Z45" s="52"/>
      <c r="AA45" s="52"/>
      <c r="AB45" s="53"/>
      <c r="AC45" s="53"/>
      <c r="AD45" s="53"/>
    </row>
    <row r="46" spans="2:30" ht="15" thickBot="1">
      <c r="B46" s="48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50"/>
      <c r="S46" s="51"/>
      <c r="T46" s="52" t="str">
        <f>"    "&amp;"    "&amp;$C$199</f>
        <v xml:space="preserve">            \</v>
      </c>
      <c r="U46" s="52"/>
      <c r="V46" s="52"/>
      <c r="W46" s="52"/>
      <c r="X46" s="52"/>
      <c r="Y46" s="52"/>
      <c r="Z46" s="52"/>
      <c r="AA46" s="52"/>
      <c r="AB46" s="53"/>
      <c r="AC46" s="53"/>
      <c r="AD46" s="53"/>
    </row>
    <row r="47" spans="2:30" ht="15" thickBot="1">
      <c r="B47" s="54" t="s">
        <v>32</v>
      </c>
      <c r="C47" s="55"/>
      <c r="D47" s="55"/>
      <c r="E47" s="55"/>
      <c r="F47" s="55"/>
      <c r="G47" s="55"/>
      <c r="H47" s="55"/>
      <c r="I47" s="55"/>
      <c r="J47" s="56"/>
      <c r="K47" s="49"/>
      <c r="L47" s="49" t="s">
        <v>87</v>
      </c>
      <c r="M47" s="49"/>
      <c r="N47" s="49"/>
      <c r="O47" s="49"/>
      <c r="P47" s="49"/>
      <c r="Q47" s="49"/>
      <c r="R47" s="50"/>
      <c r="S47" s="51"/>
      <c r="T47" s="52" t="str">
        <f>C47&amp;D47&amp;E47&amp;F47&amp;G47&amp;H47&amp;I47&amp;J47&amp;"    "&amp;L47&amp;$C$199</f>
        <v xml:space="preserve">    /* CC file start */    \</v>
      </c>
      <c r="U47" s="52"/>
      <c r="V47" s="52"/>
      <c r="W47" s="52"/>
      <c r="X47" s="52"/>
      <c r="Y47" s="52"/>
      <c r="Z47" s="52"/>
      <c r="AA47" s="52"/>
      <c r="AB47" s="53"/>
      <c r="AC47" s="53"/>
      <c r="AD47" s="53"/>
    </row>
    <row r="48" spans="2:30" ht="15" thickBot="1">
      <c r="B48" s="48"/>
      <c r="C48" s="58" t="s">
        <v>100</v>
      </c>
      <c r="D48" s="60" t="s">
        <v>106</v>
      </c>
      <c r="E48" s="49"/>
      <c r="F48" s="49"/>
      <c r="G48" s="49"/>
      <c r="H48" s="49"/>
      <c r="I48" s="49"/>
      <c r="J48" s="50"/>
      <c r="K48" s="49"/>
      <c r="L48" s="49" t="s">
        <v>35</v>
      </c>
      <c r="M48" s="49"/>
      <c r="N48" s="49"/>
      <c r="O48" s="49"/>
      <c r="P48" s="49"/>
      <c r="Q48" s="49"/>
      <c r="R48" s="50"/>
      <c r="S48" s="51"/>
      <c r="T48" s="52" t="str">
        <f t="shared" ref="T48:T57" si="0">"    "&amp;C48&amp;D48&amp;E48&amp;F48&amp;G48&amp;H48&amp;I48&amp;J48&amp;"    "&amp;L48&amp;$C$199</f>
        <v xml:space="preserve">    0x00, 0x0F,     /* CCLEN 15bytes fix*/    \</v>
      </c>
      <c r="U48" s="52"/>
      <c r="V48" s="52"/>
      <c r="W48" s="52"/>
      <c r="X48" s="52"/>
      <c r="Y48" s="52"/>
      <c r="Z48" s="52"/>
      <c r="AA48" s="52"/>
      <c r="AB48" s="53"/>
      <c r="AC48" s="53"/>
      <c r="AD48" s="53"/>
    </row>
    <row r="49" spans="2:30" ht="15" thickBot="1">
      <c r="B49" s="48"/>
      <c r="C49" s="63" t="s">
        <v>107</v>
      </c>
      <c r="D49" s="49"/>
      <c r="E49" s="49"/>
      <c r="F49" s="49"/>
      <c r="G49" s="49"/>
      <c r="H49" s="49"/>
      <c r="I49" s="49"/>
      <c r="J49" s="50"/>
      <c r="K49" s="49"/>
      <c r="L49" s="49" t="s">
        <v>10</v>
      </c>
      <c r="M49" s="49"/>
      <c r="N49" s="49"/>
      <c r="O49" s="49"/>
      <c r="P49" s="49"/>
      <c r="Q49" s="49"/>
      <c r="R49" s="50"/>
      <c r="S49" s="51"/>
      <c r="T49" s="52" t="str">
        <f t="shared" si="0"/>
        <v xml:space="preserve">    0x20,     /* Mapping version 2.0 */    \</v>
      </c>
      <c r="U49" s="52"/>
      <c r="V49" s="52"/>
      <c r="W49" s="52"/>
      <c r="X49" s="52"/>
      <c r="Y49" s="52"/>
      <c r="Z49" s="52"/>
      <c r="AA49" s="52"/>
      <c r="AB49" s="53"/>
      <c r="AC49" s="53"/>
      <c r="AD49" s="53"/>
    </row>
    <row r="50" spans="2:30" ht="15" thickBot="1">
      <c r="B50" s="48"/>
      <c r="C50" s="64" t="s">
        <v>100</v>
      </c>
      <c r="D50" s="65" t="s">
        <v>809</v>
      </c>
      <c r="E50" s="49"/>
      <c r="F50" s="49"/>
      <c r="G50" s="49"/>
      <c r="H50" s="49"/>
      <c r="I50" s="49"/>
      <c r="J50" s="50"/>
      <c r="K50" s="49"/>
      <c r="L50" s="49" t="s">
        <v>11</v>
      </c>
      <c r="M50" s="49"/>
      <c r="N50" s="49"/>
      <c r="O50" s="49"/>
      <c r="P50" s="49"/>
      <c r="Q50" s="49"/>
      <c r="R50" s="50"/>
      <c r="S50" s="51"/>
      <c r="T50" s="52" t="str">
        <f t="shared" si="0"/>
        <v xml:space="preserve">    0x00, 0xF9,     /* MLe (49 bytes); Maximum R-APDU data size */    \</v>
      </c>
      <c r="U50" s="52"/>
      <c r="V50" s="52"/>
      <c r="W50" s="52"/>
      <c r="X50" s="52"/>
      <c r="Y50" s="52"/>
      <c r="Z50" s="52"/>
      <c r="AA50" s="52"/>
      <c r="AB50" s="53"/>
      <c r="AC50" s="53"/>
      <c r="AD50" s="53"/>
    </row>
    <row r="51" spans="2:30" ht="15" thickBot="1">
      <c r="B51" s="48"/>
      <c r="C51" s="58" t="s">
        <v>100</v>
      </c>
      <c r="D51" s="60" t="s">
        <v>810</v>
      </c>
      <c r="E51" s="49"/>
      <c r="F51" s="49"/>
      <c r="G51" s="49"/>
      <c r="H51" s="49"/>
      <c r="I51" s="49"/>
      <c r="J51" s="50"/>
      <c r="K51" s="49"/>
      <c r="L51" s="49" t="s">
        <v>46</v>
      </c>
      <c r="M51" s="49"/>
      <c r="N51" s="49"/>
      <c r="O51" s="49"/>
      <c r="P51" s="49"/>
      <c r="Q51" s="49"/>
      <c r="R51" s="50"/>
      <c r="S51" s="51"/>
      <c r="T51" s="52" t="str">
        <f t="shared" si="0"/>
        <v xml:space="preserve">    0x00, 0xF6,     /* MLc (52 bytes); Maximum C-APDU data size */    \</v>
      </c>
      <c r="U51" s="52"/>
      <c r="V51" s="52"/>
      <c r="W51" s="52"/>
      <c r="X51" s="52"/>
      <c r="Y51" s="52"/>
      <c r="Z51" s="52"/>
      <c r="AA51" s="52"/>
      <c r="AB51" s="53"/>
      <c r="AC51" s="53"/>
      <c r="AD51" s="53"/>
    </row>
    <row r="52" spans="2:30" ht="15" thickBot="1">
      <c r="B52" s="48" t="s">
        <v>49</v>
      </c>
      <c r="C52" s="66" t="s">
        <v>108</v>
      </c>
      <c r="D52" s="49"/>
      <c r="E52" s="49"/>
      <c r="F52" s="49"/>
      <c r="G52" s="49"/>
      <c r="H52" s="49"/>
      <c r="I52" s="49"/>
      <c r="J52" s="50"/>
      <c r="K52" s="49"/>
      <c r="L52" s="49" t="s">
        <v>12</v>
      </c>
      <c r="M52" s="49"/>
      <c r="N52" s="49"/>
      <c r="O52" s="49"/>
      <c r="P52" s="49"/>
      <c r="Q52" s="49"/>
      <c r="R52" s="50"/>
      <c r="S52" s="51"/>
      <c r="T52" s="52" t="str">
        <f t="shared" si="0"/>
        <v xml:space="preserve">    0x04,     /* Tag, File Control TLV (4 = NDEF file) */    \</v>
      </c>
      <c r="U52" s="52"/>
      <c r="V52" s="52"/>
      <c r="W52" s="52"/>
      <c r="X52" s="52"/>
      <c r="Y52" s="52"/>
      <c r="Z52" s="52"/>
      <c r="AA52" s="52"/>
      <c r="AB52" s="53"/>
      <c r="AC52" s="53"/>
      <c r="AD52" s="53"/>
    </row>
    <row r="53" spans="2:30" ht="15" thickBot="1">
      <c r="B53" s="48" t="s">
        <v>50</v>
      </c>
      <c r="C53" s="66" t="s">
        <v>109</v>
      </c>
      <c r="D53" s="57"/>
      <c r="E53" s="49"/>
      <c r="F53" s="49"/>
      <c r="G53" s="49"/>
      <c r="H53" s="49"/>
      <c r="I53" s="49"/>
      <c r="J53" s="50"/>
      <c r="K53" s="49"/>
      <c r="L53" s="49" t="s">
        <v>13</v>
      </c>
      <c r="M53" s="49"/>
      <c r="N53" s="49"/>
      <c r="O53" s="49"/>
      <c r="P53" s="49"/>
      <c r="Q53" s="49"/>
      <c r="R53" s="50"/>
      <c r="S53" s="51"/>
      <c r="T53" s="52" t="str">
        <f t="shared" si="0"/>
        <v xml:space="preserve">    0x06,     /* Length, File Control TLV (6 = 6 bytes of data for this tag) */    \</v>
      </c>
      <c r="U53" s="52"/>
      <c r="V53" s="52"/>
      <c r="W53" s="52"/>
      <c r="X53" s="52"/>
      <c r="Y53" s="52"/>
      <c r="Z53" s="52"/>
      <c r="AA53" s="52"/>
      <c r="AB53" s="53"/>
      <c r="AC53" s="53"/>
      <c r="AD53" s="53"/>
    </row>
    <row r="54" spans="2:30">
      <c r="B54" s="67" t="s">
        <v>51</v>
      </c>
      <c r="C54" s="68" t="s">
        <v>103</v>
      </c>
      <c r="D54" s="69" t="s">
        <v>108</v>
      </c>
      <c r="E54" s="49"/>
      <c r="F54" s="49"/>
      <c r="G54" s="49"/>
      <c r="H54" s="49"/>
      <c r="I54" s="49"/>
      <c r="J54" s="50"/>
      <c r="K54" s="49"/>
      <c r="L54" s="49" t="s">
        <v>47</v>
      </c>
      <c r="M54" s="49"/>
      <c r="N54" s="49"/>
      <c r="O54" s="49"/>
      <c r="P54" s="49"/>
      <c r="Q54" s="49"/>
      <c r="R54" s="50"/>
      <c r="S54" s="51"/>
      <c r="T54" s="52" t="str">
        <f t="shared" si="0"/>
        <v xml:space="preserve">    0xE1, 0x04,     /* Type4 Tag File Identifier */    \</v>
      </c>
      <c r="U54" s="52"/>
      <c r="V54" s="52"/>
      <c r="W54" s="52"/>
      <c r="X54" s="52"/>
      <c r="Y54" s="52"/>
      <c r="Z54" s="52"/>
      <c r="AA54" s="52"/>
      <c r="AB54" s="53"/>
      <c r="AC54" s="53"/>
      <c r="AD54" s="53"/>
    </row>
    <row r="55" spans="2:30" ht="15" thickBot="1">
      <c r="B55" s="67"/>
      <c r="C55" s="70" t="s">
        <v>111</v>
      </c>
      <c r="D55" s="71" t="s">
        <v>112</v>
      </c>
      <c r="E55" s="49"/>
      <c r="F55" s="49"/>
      <c r="G55" s="49"/>
      <c r="H55" s="49"/>
      <c r="I55" s="49"/>
      <c r="J55" s="50"/>
      <c r="K55" s="49"/>
      <c r="L55" s="49" t="s">
        <v>48</v>
      </c>
      <c r="M55" s="49"/>
      <c r="N55" s="49"/>
      <c r="O55" s="49"/>
      <c r="P55" s="49"/>
      <c r="Q55" s="49"/>
      <c r="R55" s="50"/>
      <c r="S55" s="51"/>
      <c r="T55" s="52" t="str">
        <f t="shared" si="0"/>
        <v xml:space="preserve">    0x0B, 0xDF,     /* Max NDEF size (3037 bytes of RF430CL330 useable memory) */    \</v>
      </c>
      <c r="U55" s="52"/>
      <c r="V55" s="52"/>
      <c r="W55" s="52"/>
      <c r="X55" s="52"/>
      <c r="Y55" s="52"/>
      <c r="Z55" s="52"/>
      <c r="AA55" s="52"/>
      <c r="AB55" s="53"/>
      <c r="AC55" s="53"/>
      <c r="AD55" s="53"/>
    </row>
    <row r="56" spans="2:30">
      <c r="B56" s="67"/>
      <c r="C56" s="72" t="s">
        <v>100</v>
      </c>
      <c r="D56" s="55"/>
      <c r="E56" s="49"/>
      <c r="F56" s="49"/>
      <c r="G56" s="49"/>
      <c r="H56" s="49"/>
      <c r="I56" s="49"/>
      <c r="J56" s="50"/>
      <c r="K56" s="49"/>
      <c r="L56" s="49" t="s">
        <v>14</v>
      </c>
      <c r="M56" s="49"/>
      <c r="N56" s="49"/>
      <c r="O56" s="49"/>
      <c r="P56" s="49"/>
      <c r="Q56" s="49"/>
      <c r="R56" s="50"/>
      <c r="S56" s="51"/>
      <c r="T56" s="52" t="str">
        <f t="shared" si="0"/>
        <v xml:space="preserve">    0x00,     /* NDEF file read access condition, read access without any security */    \</v>
      </c>
      <c r="U56" s="52"/>
      <c r="V56" s="52"/>
      <c r="W56" s="52"/>
      <c r="X56" s="52"/>
      <c r="Y56" s="52"/>
      <c r="Z56" s="52"/>
      <c r="AA56" s="52"/>
      <c r="AB56" s="53"/>
      <c r="AC56" s="53"/>
      <c r="AD56" s="53"/>
    </row>
    <row r="57" spans="2:30" ht="15" thickBot="1">
      <c r="B57" s="73"/>
      <c r="C57" s="74" t="s">
        <v>100</v>
      </c>
      <c r="D57" s="62"/>
      <c r="E57" s="62"/>
      <c r="F57" s="62"/>
      <c r="G57" s="62"/>
      <c r="H57" s="62"/>
      <c r="I57" s="62"/>
      <c r="J57" s="61"/>
      <c r="K57" s="49"/>
      <c r="L57" s="49" t="s">
        <v>15</v>
      </c>
      <c r="M57" s="49"/>
      <c r="N57" s="49"/>
      <c r="O57" s="49"/>
      <c r="P57" s="49"/>
      <c r="Q57" s="49"/>
      <c r="R57" s="50"/>
      <c r="S57" s="51"/>
      <c r="T57" s="52" t="str">
        <f t="shared" si="0"/>
        <v xml:space="preserve">    0x00,     /* NDEF file write access condition; write access without any security */    \</v>
      </c>
      <c r="U57" s="52"/>
      <c r="V57" s="52"/>
      <c r="W57" s="52"/>
      <c r="X57" s="52"/>
      <c r="Y57" s="52"/>
      <c r="Z57" s="52"/>
      <c r="AA57" s="52"/>
      <c r="AB57" s="53"/>
      <c r="AC57" s="53"/>
      <c r="AD57" s="53"/>
    </row>
    <row r="58" spans="2:30" ht="15" thickBot="1">
      <c r="B58" s="48"/>
      <c r="C58" s="49"/>
      <c r="D58" s="49"/>
      <c r="E58" s="49"/>
      <c r="F58" s="49"/>
      <c r="G58" s="49"/>
      <c r="H58" s="49"/>
      <c r="I58" s="49"/>
      <c r="J58" s="49"/>
      <c r="K58" s="49"/>
      <c r="L58" s="49" t="s">
        <v>86</v>
      </c>
      <c r="M58" s="49"/>
      <c r="N58" s="49"/>
      <c r="O58" s="49"/>
      <c r="P58" s="49"/>
      <c r="Q58" s="49"/>
      <c r="R58" s="50"/>
      <c r="S58" s="51"/>
      <c r="T58" s="52" t="str">
        <f>C58&amp;D58&amp;E58&amp;F58&amp;G58&amp;H58&amp;I58&amp;J58&amp;"    "&amp;L58&amp;$C$199</f>
        <v xml:space="preserve">    /* CC file end */    \</v>
      </c>
      <c r="U58" s="52"/>
      <c r="V58" s="52"/>
      <c r="W58" s="52"/>
      <c r="X58" s="52"/>
      <c r="Y58" s="52"/>
      <c r="Z58" s="52"/>
      <c r="AA58" s="52"/>
      <c r="AB58" s="53"/>
      <c r="AC58" s="53"/>
      <c r="AD58" s="53"/>
    </row>
    <row r="59" spans="2:30" ht="15" thickBot="1">
      <c r="B59" s="54" t="s">
        <v>53</v>
      </c>
      <c r="C59" s="55"/>
      <c r="D59" s="55"/>
      <c r="E59" s="55"/>
      <c r="F59" s="55"/>
      <c r="G59" s="55"/>
      <c r="H59" s="55"/>
      <c r="I59" s="55"/>
      <c r="J59" s="56"/>
      <c r="K59" s="49"/>
      <c r="L59" s="49"/>
      <c r="M59" s="49"/>
      <c r="N59" s="49"/>
      <c r="O59" s="49"/>
      <c r="P59" s="49"/>
      <c r="Q59" s="49"/>
      <c r="R59" s="50"/>
      <c r="S59" s="51"/>
      <c r="T59" s="52" t="str">
        <f>"    "&amp;"    "&amp;$C$199</f>
        <v xml:space="preserve">            \</v>
      </c>
      <c r="U59" s="52"/>
      <c r="V59" s="52"/>
      <c r="W59" s="52"/>
      <c r="X59" s="52"/>
      <c r="Y59" s="52"/>
      <c r="Z59" s="52"/>
      <c r="AA59" s="52"/>
      <c r="AB59" s="53"/>
      <c r="AC59" s="53"/>
      <c r="AD59" s="53"/>
    </row>
    <row r="60" spans="2:30" ht="15" thickBot="1">
      <c r="B60" s="57"/>
      <c r="C60" s="66" t="s">
        <v>103</v>
      </c>
      <c r="D60" s="66" t="s">
        <v>108</v>
      </c>
      <c r="E60" s="62"/>
      <c r="F60" s="62"/>
      <c r="G60" s="62"/>
      <c r="H60" s="62"/>
      <c r="I60" s="62"/>
      <c r="J60" s="61"/>
      <c r="K60" s="49"/>
      <c r="L60" s="49" t="s">
        <v>16</v>
      </c>
      <c r="M60" s="49"/>
      <c r="N60" s="49"/>
      <c r="O60" s="49"/>
      <c r="P60" s="49"/>
      <c r="Q60" s="49"/>
      <c r="R60" s="50"/>
      <c r="S60" s="51"/>
      <c r="T60" s="52" t="str">
        <f>"    "&amp;C60&amp;D60&amp;E60&amp;F60&amp;G60&amp;H60&amp;I60&amp;J60&amp;"    "&amp;L60&amp;$C$199</f>
        <v xml:space="preserve">    0xE1, 0x04,     /* NDEF File ID */     \</v>
      </c>
      <c r="U60" s="52"/>
      <c r="V60" s="52"/>
      <c r="W60" s="52"/>
      <c r="X60" s="52"/>
      <c r="Y60" s="52"/>
      <c r="Z60" s="52"/>
      <c r="AA60" s="52"/>
      <c r="AB60" s="53"/>
      <c r="AC60" s="53"/>
      <c r="AD60" s="53"/>
    </row>
    <row r="61" spans="2:30" ht="15" thickBot="1">
      <c r="B61" s="48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50"/>
      <c r="S61" s="51"/>
      <c r="T61" s="52" t="str">
        <f>"    "&amp;"    "&amp;$C$199</f>
        <v xml:space="preserve">            \</v>
      </c>
      <c r="U61" s="52"/>
      <c r="V61" s="52"/>
      <c r="W61" s="52"/>
      <c r="X61" s="52"/>
      <c r="Y61" s="52"/>
      <c r="Z61" s="52"/>
      <c r="AA61" s="52"/>
      <c r="AB61" s="53"/>
      <c r="AC61" s="53"/>
      <c r="AD61" s="53"/>
    </row>
    <row r="62" spans="2:30" ht="15" thickBot="1">
      <c r="B62" s="54" t="s">
        <v>54</v>
      </c>
      <c r="C62" s="55"/>
      <c r="D62" s="55"/>
      <c r="E62" s="55"/>
      <c r="F62" s="55"/>
      <c r="G62" s="55"/>
      <c r="H62" s="55"/>
      <c r="I62" s="55"/>
      <c r="J62" s="56"/>
      <c r="K62" s="49"/>
      <c r="L62" s="49"/>
      <c r="M62" s="49"/>
      <c r="N62" s="49"/>
      <c r="O62" s="49"/>
      <c r="P62" s="49"/>
      <c r="Q62" s="49"/>
      <c r="R62" s="50"/>
      <c r="S62" s="51"/>
      <c r="T62" s="52"/>
      <c r="U62" s="52"/>
      <c r="V62" s="52"/>
      <c r="W62" s="52"/>
      <c r="X62" s="52"/>
      <c r="Y62" s="52"/>
      <c r="Z62" s="52"/>
      <c r="AA62" s="52"/>
      <c r="AB62" s="53"/>
      <c r="AC62" s="53"/>
      <c r="AD62" s="53"/>
    </row>
    <row r="63" spans="2:30" ht="15" thickBot="1">
      <c r="B63" s="57"/>
      <c r="C63" s="58" t="s">
        <v>100</v>
      </c>
      <c r="D63" s="60" t="str">
        <f>L196</f>
        <v>0x0B,</v>
      </c>
      <c r="E63" s="62"/>
      <c r="F63" s="62"/>
      <c r="G63" s="62"/>
      <c r="H63" s="62"/>
      <c r="I63" s="62"/>
      <c r="J63" s="61"/>
      <c r="K63" s="49"/>
      <c r="L63" s="49" t="str">
        <f>"/* NDEF Length "&amp;F196&amp;"bytes */"</f>
        <v>/* NDEF Length 11bytes */</v>
      </c>
      <c r="M63" s="49"/>
      <c r="N63" s="49"/>
      <c r="O63" s="49"/>
      <c r="P63" s="49"/>
      <c r="Q63" s="49"/>
      <c r="R63" s="50"/>
      <c r="S63" s="51"/>
      <c r="T63" s="52" t="str">
        <f>"    "&amp;C63&amp;D63&amp;E63&amp;F63&amp;G63&amp;H63&amp;I63&amp;J63&amp;"    "&amp;L63&amp;$C$199</f>
        <v xml:space="preserve">    0x00, 0x0B,    /* NDEF Length 11bytes */    \</v>
      </c>
      <c r="U63" s="52"/>
      <c r="V63" s="52"/>
      <c r="W63" s="52"/>
      <c r="X63" s="52"/>
      <c r="Y63" s="52"/>
      <c r="Z63" s="52"/>
      <c r="AA63" s="52"/>
      <c r="AB63" s="53"/>
      <c r="AC63" s="53"/>
      <c r="AD63" s="53"/>
    </row>
    <row r="64" spans="2:30" ht="15" thickBot="1">
      <c r="B64" s="48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50"/>
      <c r="S64" s="51"/>
      <c r="T64" s="52" t="str">
        <f>"    "&amp;"    "&amp;$C$199</f>
        <v xml:space="preserve">            \</v>
      </c>
      <c r="U64" s="52"/>
      <c r="V64" s="52"/>
      <c r="W64" s="52"/>
      <c r="X64" s="52"/>
      <c r="Y64" s="52"/>
      <c r="Z64" s="52"/>
      <c r="AA64" s="52"/>
      <c r="AB64" s="53"/>
      <c r="AC64" s="53"/>
      <c r="AD64" s="53"/>
    </row>
    <row r="65" spans="2:30" ht="15" thickBot="1">
      <c r="B65" s="54" t="s">
        <v>52</v>
      </c>
      <c r="C65" s="55"/>
      <c r="D65" s="55"/>
      <c r="E65" s="55"/>
      <c r="F65" s="55"/>
      <c r="G65" s="55"/>
      <c r="H65" s="55"/>
      <c r="I65" s="55"/>
      <c r="J65" s="56"/>
      <c r="K65" s="49"/>
      <c r="L65" s="49" t="s">
        <v>68</v>
      </c>
      <c r="M65" s="49"/>
      <c r="N65" s="49"/>
      <c r="O65" s="49"/>
      <c r="P65" s="49"/>
      <c r="Q65" s="49"/>
      <c r="R65" s="50"/>
      <c r="S65" s="51"/>
      <c r="T65" s="52" t="str">
        <f>C65&amp;D65&amp;E65&amp;F65&amp;G65&amp;H65&amp;I65&amp;J65&amp;"    "&amp;L65&amp;$C$199</f>
        <v xml:space="preserve">    /* NDEF start */    \</v>
      </c>
      <c r="U65" s="52"/>
      <c r="V65" s="52"/>
      <c r="W65" s="52"/>
      <c r="X65" s="52"/>
      <c r="Y65" s="52"/>
      <c r="Z65" s="52"/>
      <c r="AA65" s="52"/>
      <c r="AB65" s="53"/>
      <c r="AC65" s="53"/>
      <c r="AD65" s="53"/>
    </row>
    <row r="66" spans="2:30" ht="15" thickBot="1">
      <c r="B66" s="48" t="s">
        <v>57</v>
      </c>
      <c r="C66" s="66" t="s">
        <v>84</v>
      </c>
      <c r="D66" s="49"/>
      <c r="E66" s="49"/>
      <c r="F66" s="49"/>
      <c r="G66" s="49"/>
      <c r="H66" s="49"/>
      <c r="I66" s="49"/>
      <c r="J66" s="50"/>
      <c r="K66" s="49"/>
      <c r="L66" s="49" t="s">
        <v>192</v>
      </c>
      <c r="M66" s="49"/>
      <c r="N66" s="49"/>
      <c r="O66" s="49"/>
      <c r="P66" s="49"/>
      <c r="Q66" s="49"/>
      <c r="R66" s="50"/>
      <c r="S66" s="51"/>
      <c r="T66" s="52" t="str">
        <f>"    "&amp;C66&amp;D66&amp;E66&amp;F66&amp;G66&amp;H66&amp;I66&amp;J66&amp;"    "&amp;L66&amp;$C$199</f>
        <v xml:space="preserve">    0xD1,    /* NDEF Header MB=1, ME=1, CF=0, SR=1, IL=0, TNF=1 */    \</v>
      </c>
      <c r="U66" s="52"/>
      <c r="V66" s="52"/>
      <c r="W66" s="52"/>
      <c r="X66" s="52"/>
      <c r="Y66" s="52"/>
      <c r="Z66" s="52"/>
      <c r="AA66" s="52"/>
      <c r="AB66" s="53"/>
      <c r="AC66" s="53"/>
      <c r="AD66" s="53"/>
    </row>
    <row r="67" spans="2:30">
      <c r="B67" s="48"/>
      <c r="C67" s="75" t="s">
        <v>0</v>
      </c>
      <c r="D67" s="76" t="s">
        <v>1</v>
      </c>
      <c r="E67" s="76" t="s">
        <v>2</v>
      </c>
      <c r="F67" s="76" t="s">
        <v>3</v>
      </c>
      <c r="G67" s="76" t="s">
        <v>4</v>
      </c>
      <c r="H67" s="223" t="s">
        <v>5</v>
      </c>
      <c r="I67" s="223"/>
      <c r="J67" s="224"/>
      <c r="K67" s="49"/>
      <c r="L67" s="49"/>
      <c r="M67" s="49"/>
      <c r="N67" s="49"/>
      <c r="O67" s="49"/>
      <c r="P67" s="49"/>
      <c r="Q67" s="49"/>
      <c r="R67" s="50"/>
      <c r="S67" s="51"/>
      <c r="T67" s="52" t="str">
        <f>"    "&amp;"    "&amp;$C$199</f>
        <v xml:space="preserve">            \</v>
      </c>
      <c r="U67" s="52"/>
      <c r="V67" s="52"/>
      <c r="W67" s="52"/>
      <c r="X67" s="52"/>
      <c r="Y67" s="52"/>
      <c r="Z67" s="52"/>
      <c r="AA67" s="52"/>
      <c r="AB67" s="53"/>
      <c r="AC67" s="53"/>
      <c r="AD67" s="53"/>
    </row>
    <row r="68" spans="2:30">
      <c r="B68" s="48"/>
      <c r="C68" s="76">
        <v>1</v>
      </c>
      <c r="D68" s="76">
        <v>1</v>
      </c>
      <c r="E68" s="76">
        <v>0</v>
      </c>
      <c r="F68" s="76">
        <v>1</v>
      </c>
      <c r="G68" s="76">
        <v>0</v>
      </c>
      <c r="H68" s="76">
        <v>0</v>
      </c>
      <c r="I68" s="76">
        <v>0</v>
      </c>
      <c r="J68" s="77">
        <v>1</v>
      </c>
      <c r="K68" s="49"/>
      <c r="L68" s="49"/>
      <c r="M68" s="49"/>
      <c r="N68" s="49"/>
      <c r="O68" s="49"/>
      <c r="P68" s="49"/>
      <c r="Q68" s="49"/>
      <c r="R68" s="50"/>
      <c r="S68" s="51"/>
      <c r="T68" s="52"/>
      <c r="U68" s="52"/>
      <c r="V68" s="52"/>
      <c r="W68" s="52"/>
      <c r="X68" s="52"/>
      <c r="Y68" s="52"/>
      <c r="Z68" s="52"/>
      <c r="AA68" s="52"/>
      <c r="AB68" s="53"/>
      <c r="AC68" s="53"/>
      <c r="AD68" s="53"/>
    </row>
    <row r="69" spans="2:30" ht="15" thickBot="1">
      <c r="B69" s="48" t="s">
        <v>58</v>
      </c>
      <c r="C69" s="49"/>
      <c r="D69" s="49"/>
      <c r="E69" s="49"/>
      <c r="F69" s="49"/>
      <c r="G69" s="49"/>
      <c r="H69" s="49"/>
      <c r="I69" s="49"/>
      <c r="J69" s="50"/>
      <c r="K69" s="49"/>
      <c r="L69" s="49"/>
      <c r="M69" s="49"/>
      <c r="N69" s="49"/>
      <c r="O69" s="49"/>
      <c r="P69" s="49"/>
      <c r="Q69" s="49"/>
      <c r="R69" s="50"/>
      <c r="S69" s="51"/>
      <c r="T69" s="52"/>
      <c r="U69" s="52"/>
      <c r="V69" s="52"/>
      <c r="W69" s="52"/>
      <c r="X69" s="52"/>
      <c r="Y69" s="52"/>
      <c r="Z69" s="52"/>
      <c r="AA69" s="52"/>
      <c r="AB69" s="53"/>
      <c r="AC69" s="53"/>
      <c r="AD69" s="53"/>
    </row>
    <row r="70" spans="2:30" ht="15" thickBot="1">
      <c r="B70" s="48"/>
      <c r="C70" s="66" t="s">
        <v>59</v>
      </c>
      <c r="D70" s="49"/>
      <c r="E70" s="49"/>
      <c r="F70" s="49"/>
      <c r="G70" s="49"/>
      <c r="H70" s="49"/>
      <c r="I70" s="49"/>
      <c r="J70" s="50"/>
      <c r="K70" s="49"/>
      <c r="L70" s="49" t="s">
        <v>64</v>
      </c>
      <c r="M70" s="49"/>
      <c r="N70" s="49"/>
      <c r="O70" s="49"/>
      <c r="P70" s="49"/>
      <c r="Q70" s="49"/>
      <c r="R70" s="50"/>
      <c r="S70" s="51"/>
      <c r="T70" s="52" t="str">
        <f>"    "&amp;C70&amp;D70&amp;E70&amp;F70&amp;G70&amp;H70&amp;I70&amp;J70&amp;"    "&amp;L70&amp;$C$199</f>
        <v xml:space="preserve">    0x01,    /* Type Length 1 byte */    \</v>
      </c>
      <c r="U70" s="52"/>
      <c r="V70" s="52"/>
      <c r="W70" s="52"/>
      <c r="X70" s="52"/>
      <c r="Y70" s="52"/>
      <c r="Z70" s="52"/>
      <c r="AA70" s="52"/>
      <c r="AB70" s="53"/>
      <c r="AC70" s="53"/>
      <c r="AD70" s="53"/>
    </row>
    <row r="71" spans="2:30" ht="15" thickBot="1">
      <c r="B71" s="48" t="s">
        <v>60</v>
      </c>
      <c r="C71" s="49"/>
      <c r="D71" s="49"/>
      <c r="E71" s="49"/>
      <c r="F71" s="49"/>
      <c r="G71" s="49"/>
      <c r="H71" s="49"/>
      <c r="I71" s="49"/>
      <c r="J71" s="50"/>
      <c r="K71" s="49"/>
      <c r="L71" s="49"/>
      <c r="M71" s="49"/>
      <c r="N71" s="49"/>
      <c r="O71" s="49"/>
      <c r="P71" s="49"/>
      <c r="Q71" s="49"/>
      <c r="R71" s="50"/>
      <c r="S71" s="51"/>
      <c r="T71" s="52" t="str">
        <f>"    "&amp;"    "&amp;$C$199</f>
        <v xml:space="preserve">            \</v>
      </c>
      <c r="U71" s="52"/>
      <c r="V71" s="52"/>
      <c r="W71" s="52"/>
      <c r="X71" s="52"/>
      <c r="Y71" s="52"/>
      <c r="Z71" s="52"/>
      <c r="AA71" s="52"/>
      <c r="AB71" s="53"/>
      <c r="AC71" s="53"/>
      <c r="AD71" s="53"/>
    </row>
    <row r="72" spans="2:30" ht="15" thickBot="1">
      <c r="B72" s="48"/>
      <c r="C72" s="66" t="str">
        <f>L188</f>
        <v>0x07,</v>
      </c>
      <c r="D72" s="49"/>
      <c r="E72" s="49"/>
      <c r="F72" s="49"/>
      <c r="G72" s="49"/>
      <c r="H72" s="49"/>
      <c r="I72" s="49"/>
      <c r="J72" s="50"/>
      <c r="K72" s="49"/>
      <c r="L72" s="49" t="str">
        <f>"/* Payload length "&amp;F188&amp;"bytes */"</f>
        <v>/* Payload length 7bytes */</v>
      </c>
      <c r="M72" s="49"/>
      <c r="N72" s="49"/>
      <c r="O72" s="49"/>
      <c r="P72" s="49"/>
      <c r="Q72" s="49"/>
      <c r="R72" s="50"/>
      <c r="S72" s="51"/>
      <c r="T72" s="52" t="str">
        <f>"    "&amp;C72&amp;D72&amp;E72&amp;F72&amp;G72&amp;H72&amp;I72&amp;J72&amp;"    "&amp;L72&amp;$C$199</f>
        <v xml:space="preserve">    0x07,    /* Payload length 7bytes */    \</v>
      </c>
      <c r="U72" s="52"/>
      <c r="V72" s="52"/>
      <c r="W72" s="52"/>
      <c r="X72" s="52"/>
      <c r="Y72" s="52"/>
      <c r="Z72" s="52"/>
      <c r="AA72" s="52"/>
      <c r="AB72" s="53"/>
      <c r="AC72" s="53"/>
      <c r="AD72" s="53"/>
    </row>
    <row r="73" spans="2:30" ht="15" thickBot="1">
      <c r="B73" s="48" t="s">
        <v>61</v>
      </c>
      <c r="C73" s="49"/>
      <c r="D73" s="49"/>
      <c r="E73" s="49"/>
      <c r="F73" s="49"/>
      <c r="G73" s="49"/>
      <c r="H73" s="49"/>
      <c r="I73" s="49"/>
      <c r="J73" s="50"/>
      <c r="K73" s="49"/>
      <c r="L73" s="49"/>
      <c r="M73" s="49"/>
      <c r="N73" s="49"/>
      <c r="O73" s="49"/>
      <c r="P73" s="49"/>
      <c r="Q73" s="49"/>
      <c r="R73" s="50"/>
      <c r="S73" s="51"/>
      <c r="T73" s="52" t="str">
        <f>"    "&amp;"    "&amp;$C$199</f>
        <v xml:space="preserve">            \</v>
      </c>
      <c r="U73" s="52"/>
      <c r="V73" s="52"/>
      <c r="W73" s="52"/>
      <c r="X73" s="52"/>
      <c r="Y73" s="52"/>
      <c r="Z73" s="52"/>
      <c r="AA73" s="52"/>
      <c r="AB73" s="53"/>
      <c r="AC73" s="53"/>
      <c r="AD73" s="53"/>
    </row>
    <row r="74" spans="2:30" ht="15" thickBot="1">
      <c r="B74" s="48"/>
      <c r="C74" s="63" t="s">
        <v>62</v>
      </c>
      <c r="D74" s="49"/>
      <c r="E74" s="49"/>
      <c r="F74" s="49"/>
      <c r="G74" s="49"/>
      <c r="H74" s="49"/>
      <c r="I74" s="49"/>
      <c r="J74" s="50"/>
      <c r="K74" s="49"/>
      <c r="L74" s="49" t="s">
        <v>63</v>
      </c>
      <c r="M74" s="49"/>
      <c r="N74" s="49"/>
      <c r="O74" s="49"/>
      <c r="P74" s="49"/>
      <c r="Q74" s="49"/>
      <c r="R74" s="50"/>
      <c r="S74" s="51"/>
      <c r="T74" s="52" t="str">
        <f>"    "&amp;C74&amp;D74&amp;E74&amp;F74&amp;G74&amp;H74&amp;I74&amp;J74&amp;"    "&amp;L74&amp;$C$199</f>
        <v xml:space="preserve">    0x55,    /* Type U (URI) */    \</v>
      </c>
      <c r="U74" s="52"/>
      <c r="V74" s="52"/>
      <c r="W74" s="52"/>
      <c r="X74" s="52"/>
      <c r="Y74" s="52"/>
      <c r="Z74" s="52"/>
      <c r="AA74" s="52"/>
      <c r="AB74" s="53"/>
      <c r="AC74" s="53"/>
      <c r="AD74" s="53"/>
    </row>
    <row r="75" spans="2:30">
      <c r="B75" s="54" t="s">
        <v>65</v>
      </c>
      <c r="C75" s="55"/>
      <c r="D75" s="55"/>
      <c r="E75" s="55"/>
      <c r="F75" s="55"/>
      <c r="G75" s="55"/>
      <c r="H75" s="55"/>
      <c r="I75" s="55"/>
      <c r="J75" s="56"/>
      <c r="K75" s="49"/>
      <c r="L75" s="49" t="s">
        <v>85</v>
      </c>
      <c r="M75" s="49"/>
      <c r="N75" s="49"/>
      <c r="O75" s="49"/>
      <c r="P75" s="49"/>
      <c r="Q75" s="49"/>
      <c r="R75" s="50"/>
      <c r="S75" s="51"/>
      <c r="T75" s="52" t="str">
        <f>C75&amp;D75&amp;E75&amp;F75&amp;G75&amp;H75&amp;I75&amp;J75&amp;"    "&amp;L75&amp;$C$199</f>
        <v xml:space="preserve">    /* Payload start */    \</v>
      </c>
      <c r="U75" s="52"/>
      <c r="V75" s="52"/>
      <c r="W75" s="52"/>
      <c r="X75" s="52"/>
      <c r="Y75" s="52"/>
      <c r="Z75" s="52"/>
      <c r="AA75" s="52"/>
      <c r="AB75" s="53"/>
      <c r="AC75" s="53"/>
      <c r="AD75" s="53"/>
    </row>
    <row r="76" spans="2:30" ht="15" thickBot="1">
      <c r="B76" s="48" t="s">
        <v>66</v>
      </c>
      <c r="C76" s="49"/>
      <c r="D76" s="49"/>
      <c r="E76" s="49"/>
      <c r="F76" s="49"/>
      <c r="G76" s="49"/>
      <c r="H76" s="49"/>
      <c r="I76" s="49"/>
      <c r="J76" s="50"/>
      <c r="K76" s="49"/>
      <c r="L76" s="49"/>
      <c r="M76" s="49"/>
      <c r="N76" s="49"/>
      <c r="O76" s="49"/>
      <c r="P76" s="49"/>
      <c r="Q76" s="49"/>
      <c r="R76" s="50"/>
      <c r="S76" s="51"/>
      <c r="T76" s="52" t="str">
        <f>"    "&amp;"    "&amp;$C$199</f>
        <v xml:space="preserve">            \</v>
      </c>
      <c r="U76" s="52"/>
      <c r="V76" s="52"/>
      <c r="W76" s="52"/>
      <c r="X76" s="52"/>
      <c r="Y76" s="52"/>
      <c r="Z76" s="52"/>
      <c r="AA76" s="52"/>
      <c r="AB76" s="53"/>
      <c r="AC76" s="53"/>
      <c r="AD76" s="53"/>
    </row>
    <row r="77" spans="2:30" ht="15" thickBot="1">
      <c r="B77" s="48"/>
      <c r="C77" s="66" t="str">
        <f>L10&amp;", "</f>
        <v xml:space="preserve">0x01, </v>
      </c>
      <c r="D77" s="49"/>
      <c r="E77" s="49"/>
      <c r="F77" s="49"/>
      <c r="G77" s="49"/>
      <c r="H77" s="49"/>
      <c r="I77" s="49"/>
      <c r="J77" s="50"/>
      <c r="K77" s="49"/>
      <c r="L77" s="49" t="str">
        <f>"/* URI Record Type : "&amp;D10&amp;"  */"</f>
        <v>/* URI Record Type : http://www.  */</v>
      </c>
      <c r="M77" s="49"/>
      <c r="N77" s="49"/>
      <c r="O77" s="49"/>
      <c r="P77" s="49"/>
      <c r="Q77" s="49"/>
      <c r="R77" s="50"/>
      <c r="S77" s="51"/>
      <c r="T77" s="52" t="str">
        <f>"    "&amp;C77&amp;D77&amp;E77&amp;F77&amp;G77&amp;H77&amp;I77&amp;J77&amp;"    "&amp;L77&amp;$C$199</f>
        <v xml:space="preserve">    0x01,     /* URI Record Type : http://www.  */    \</v>
      </c>
      <c r="U77" s="52"/>
      <c r="V77" s="52"/>
      <c r="W77" s="52"/>
      <c r="X77" s="52"/>
      <c r="Y77" s="52"/>
      <c r="Z77" s="52"/>
      <c r="AA77" s="52"/>
      <c r="AB77" s="53"/>
      <c r="AC77" s="53"/>
      <c r="AD77" s="53"/>
    </row>
    <row r="78" spans="2:30" ht="15" thickBot="1">
      <c r="B78" s="48" t="s">
        <v>193</v>
      </c>
      <c r="C78" s="49"/>
      <c r="D78" s="49"/>
      <c r="E78" s="49"/>
      <c r="F78" s="49"/>
      <c r="G78" s="49"/>
      <c r="H78" s="49"/>
      <c r="I78" s="49"/>
      <c r="J78" s="50"/>
      <c r="K78" s="49"/>
      <c r="L78" s="49" t="str">
        <f>"/*Appliction Data : "&amp;D14&amp;" */"</f>
        <v>/*Appliction Data : ti.com */</v>
      </c>
      <c r="M78" s="49"/>
      <c r="N78" s="49"/>
      <c r="O78" s="49"/>
      <c r="P78" s="49"/>
      <c r="Q78" s="49"/>
      <c r="R78" s="50"/>
      <c r="S78" s="51"/>
      <c r="T78" s="52" t="str">
        <f>C78&amp;D78&amp;E78&amp;F78&amp;G78&amp;H78&amp;I78&amp;J78&amp;"    "&amp;L78&amp;$C$199</f>
        <v xml:space="preserve">    /*Appliction Data : ti.com */    \</v>
      </c>
      <c r="U78" s="52"/>
      <c r="V78" s="52"/>
      <c r="W78" s="52"/>
      <c r="X78" s="52"/>
      <c r="Y78" s="52"/>
      <c r="Z78" s="52"/>
      <c r="AA78" s="52"/>
      <c r="AB78" s="53"/>
      <c r="AC78" s="53"/>
      <c r="AD78" s="53"/>
    </row>
    <row r="79" spans="2:30">
      <c r="B79" s="48"/>
      <c r="C79" s="78" t="str">
        <f t="shared" ref="C79:C94" si="1">M165</f>
        <v xml:space="preserve">0x74, </v>
      </c>
      <c r="D79" s="79" t="str">
        <f t="shared" ref="D79:D94" si="2">N165</f>
        <v xml:space="preserve">0x69, </v>
      </c>
      <c r="E79" s="79" t="str">
        <f t="shared" ref="E79:E94" si="3">O165</f>
        <v xml:space="preserve">0x2E, </v>
      </c>
      <c r="F79" s="79" t="str">
        <f t="shared" ref="F79:F94" si="4">P165</f>
        <v xml:space="preserve">0x63, </v>
      </c>
      <c r="G79" s="79" t="str">
        <f t="shared" ref="G79:G94" si="5">Q165</f>
        <v xml:space="preserve">0x6F, </v>
      </c>
      <c r="H79" s="79" t="str">
        <f t="shared" ref="H79:H94" si="6">R165</f>
        <v xml:space="preserve">0x6D, </v>
      </c>
      <c r="I79" s="79" t="str">
        <f t="shared" ref="I79:I94" si="7">S165</f>
        <v/>
      </c>
      <c r="J79" s="69" t="str">
        <f t="shared" ref="J79:J94" si="8">T165</f>
        <v/>
      </c>
      <c r="K79" s="49"/>
      <c r="L79" s="49"/>
      <c r="M79" s="49"/>
      <c r="N79" s="49"/>
      <c r="O79" s="49"/>
      <c r="P79" s="49"/>
      <c r="Q79" s="49"/>
      <c r="R79" s="50"/>
      <c r="S79" s="51"/>
      <c r="T79" s="52" t="str">
        <f t="shared" ref="T79:T94" si="9">"    "&amp;C79&amp;D79&amp;E79&amp;F79&amp;G79&amp;H79&amp;I79&amp;J79&amp;"    "&amp;L79&amp;$C$199</f>
        <v xml:space="preserve">    0x74, 0x69, 0x2E, 0x63, 0x6F, 0x6D,         \</v>
      </c>
      <c r="U79" s="52"/>
      <c r="V79" s="52"/>
      <c r="W79" s="52"/>
      <c r="X79" s="52"/>
      <c r="Y79" s="52"/>
      <c r="Z79" s="52"/>
      <c r="AA79" s="52"/>
      <c r="AB79" s="53"/>
      <c r="AC79" s="53"/>
      <c r="AD79" s="53"/>
    </row>
    <row r="80" spans="2:30">
      <c r="B80" s="48"/>
      <c r="C80" s="80" t="str">
        <f t="shared" si="1"/>
        <v/>
      </c>
      <c r="D80" s="81" t="str">
        <f t="shared" si="2"/>
        <v/>
      </c>
      <c r="E80" s="81" t="str">
        <f t="shared" si="3"/>
        <v/>
      </c>
      <c r="F80" s="81" t="str">
        <f t="shared" si="4"/>
        <v/>
      </c>
      <c r="G80" s="81" t="str">
        <f t="shared" si="5"/>
        <v/>
      </c>
      <c r="H80" s="81" t="str">
        <f t="shared" si="6"/>
        <v/>
      </c>
      <c r="I80" s="81" t="str">
        <f t="shared" si="7"/>
        <v/>
      </c>
      <c r="J80" s="82" t="str">
        <f t="shared" si="8"/>
        <v/>
      </c>
      <c r="K80" s="49"/>
      <c r="L80" s="49"/>
      <c r="M80" s="49"/>
      <c r="N80" s="49"/>
      <c r="O80" s="49"/>
      <c r="P80" s="49"/>
      <c r="Q80" s="49"/>
      <c r="R80" s="50"/>
      <c r="S80" s="51"/>
      <c r="T80" s="52" t="str">
        <f t="shared" si="9"/>
        <v xml:space="preserve">            \</v>
      </c>
      <c r="U80" s="52"/>
      <c r="V80" s="52"/>
      <c r="W80" s="52"/>
      <c r="X80" s="52"/>
      <c r="Y80" s="52"/>
      <c r="Z80" s="52"/>
      <c r="AA80" s="52"/>
      <c r="AB80" s="53"/>
      <c r="AC80" s="53"/>
      <c r="AD80" s="53"/>
    </row>
    <row r="81" spans="2:30">
      <c r="B81" s="48"/>
      <c r="C81" s="80" t="str">
        <f t="shared" si="1"/>
        <v/>
      </c>
      <c r="D81" s="81" t="str">
        <f t="shared" si="2"/>
        <v/>
      </c>
      <c r="E81" s="81" t="str">
        <f t="shared" si="3"/>
        <v/>
      </c>
      <c r="F81" s="81" t="str">
        <f t="shared" si="4"/>
        <v/>
      </c>
      <c r="G81" s="81" t="str">
        <f t="shared" si="5"/>
        <v/>
      </c>
      <c r="H81" s="81" t="str">
        <f t="shared" si="6"/>
        <v/>
      </c>
      <c r="I81" s="81" t="str">
        <f t="shared" si="7"/>
        <v/>
      </c>
      <c r="J81" s="82" t="str">
        <f t="shared" si="8"/>
        <v/>
      </c>
      <c r="K81" s="49"/>
      <c r="L81" s="49"/>
      <c r="M81" s="49"/>
      <c r="N81" s="49"/>
      <c r="O81" s="49"/>
      <c r="P81" s="49"/>
      <c r="Q81" s="49"/>
      <c r="R81" s="50"/>
      <c r="S81" s="51"/>
      <c r="T81" s="52" t="str">
        <f t="shared" si="9"/>
        <v xml:space="preserve">            \</v>
      </c>
      <c r="U81" s="52"/>
      <c r="V81" s="52"/>
      <c r="W81" s="52"/>
      <c r="X81" s="52"/>
      <c r="Y81" s="52"/>
      <c r="Z81" s="52"/>
      <c r="AA81" s="52"/>
      <c r="AB81" s="53"/>
      <c r="AC81" s="53"/>
      <c r="AD81" s="53"/>
    </row>
    <row r="82" spans="2:30">
      <c r="B82" s="48"/>
      <c r="C82" s="80" t="str">
        <f t="shared" si="1"/>
        <v/>
      </c>
      <c r="D82" s="81" t="str">
        <f t="shared" si="2"/>
        <v/>
      </c>
      <c r="E82" s="81" t="str">
        <f t="shared" si="3"/>
        <v/>
      </c>
      <c r="F82" s="81" t="str">
        <f t="shared" si="4"/>
        <v/>
      </c>
      <c r="G82" s="81" t="str">
        <f t="shared" si="5"/>
        <v/>
      </c>
      <c r="H82" s="81" t="str">
        <f t="shared" si="6"/>
        <v/>
      </c>
      <c r="I82" s="81" t="str">
        <f t="shared" si="7"/>
        <v/>
      </c>
      <c r="J82" s="82" t="str">
        <f t="shared" si="8"/>
        <v/>
      </c>
      <c r="K82" s="49"/>
      <c r="L82" s="49"/>
      <c r="M82" s="49"/>
      <c r="N82" s="49"/>
      <c r="O82" s="49"/>
      <c r="P82" s="49"/>
      <c r="Q82" s="49"/>
      <c r="R82" s="50"/>
      <c r="S82" s="51"/>
      <c r="T82" s="52" t="str">
        <f t="shared" si="9"/>
        <v xml:space="preserve">            \</v>
      </c>
      <c r="U82" s="52"/>
      <c r="V82" s="52"/>
      <c r="W82" s="52"/>
      <c r="X82" s="52"/>
      <c r="Y82" s="52"/>
      <c r="Z82" s="52"/>
      <c r="AA82" s="52"/>
      <c r="AB82" s="53"/>
      <c r="AC82" s="53"/>
      <c r="AD82" s="53"/>
    </row>
    <row r="83" spans="2:30">
      <c r="B83" s="48"/>
      <c r="C83" s="80" t="str">
        <f t="shared" si="1"/>
        <v/>
      </c>
      <c r="D83" s="81" t="str">
        <f t="shared" si="2"/>
        <v/>
      </c>
      <c r="E83" s="81" t="str">
        <f t="shared" si="3"/>
        <v/>
      </c>
      <c r="F83" s="81" t="str">
        <f t="shared" si="4"/>
        <v/>
      </c>
      <c r="G83" s="81" t="str">
        <f t="shared" si="5"/>
        <v/>
      </c>
      <c r="H83" s="81" t="str">
        <f t="shared" si="6"/>
        <v/>
      </c>
      <c r="I83" s="81" t="str">
        <f t="shared" si="7"/>
        <v/>
      </c>
      <c r="J83" s="82" t="str">
        <f t="shared" si="8"/>
        <v/>
      </c>
      <c r="K83" s="49"/>
      <c r="L83" s="49"/>
      <c r="M83" s="49"/>
      <c r="N83" s="49"/>
      <c r="O83" s="49"/>
      <c r="P83" s="49"/>
      <c r="Q83" s="49"/>
      <c r="R83" s="50"/>
      <c r="S83" s="51"/>
      <c r="T83" s="52" t="str">
        <f t="shared" si="9"/>
        <v xml:space="preserve">            \</v>
      </c>
      <c r="U83" s="52"/>
      <c r="V83" s="52"/>
      <c r="W83" s="52"/>
      <c r="X83" s="52"/>
      <c r="Y83" s="52"/>
      <c r="Z83" s="52"/>
      <c r="AA83" s="52"/>
      <c r="AB83" s="53"/>
      <c r="AC83" s="53"/>
      <c r="AD83" s="53"/>
    </row>
    <row r="84" spans="2:30">
      <c r="B84" s="48"/>
      <c r="C84" s="80" t="str">
        <f t="shared" si="1"/>
        <v/>
      </c>
      <c r="D84" s="81" t="str">
        <f t="shared" si="2"/>
        <v/>
      </c>
      <c r="E84" s="81" t="str">
        <f t="shared" si="3"/>
        <v/>
      </c>
      <c r="F84" s="81" t="str">
        <f t="shared" si="4"/>
        <v/>
      </c>
      <c r="G84" s="81" t="str">
        <f t="shared" si="5"/>
        <v/>
      </c>
      <c r="H84" s="81" t="str">
        <f t="shared" si="6"/>
        <v/>
      </c>
      <c r="I84" s="81" t="str">
        <f t="shared" si="7"/>
        <v/>
      </c>
      <c r="J84" s="82" t="str">
        <f t="shared" si="8"/>
        <v/>
      </c>
      <c r="K84" s="49"/>
      <c r="L84" s="49"/>
      <c r="M84" s="49"/>
      <c r="N84" s="49"/>
      <c r="O84" s="49"/>
      <c r="P84" s="49"/>
      <c r="Q84" s="49"/>
      <c r="R84" s="50"/>
      <c r="S84" s="51"/>
      <c r="T84" s="52" t="str">
        <f t="shared" si="9"/>
        <v xml:space="preserve">            \</v>
      </c>
      <c r="U84" s="52"/>
      <c r="V84" s="52"/>
      <c r="W84" s="52"/>
      <c r="X84" s="52"/>
      <c r="Y84" s="52"/>
      <c r="Z84" s="52"/>
      <c r="AA84" s="52"/>
      <c r="AB84" s="53"/>
      <c r="AC84" s="53"/>
      <c r="AD84" s="53"/>
    </row>
    <row r="85" spans="2:30">
      <c r="B85" s="48"/>
      <c r="C85" s="80" t="str">
        <f t="shared" si="1"/>
        <v/>
      </c>
      <c r="D85" s="81" t="str">
        <f t="shared" si="2"/>
        <v/>
      </c>
      <c r="E85" s="81" t="str">
        <f t="shared" si="3"/>
        <v/>
      </c>
      <c r="F85" s="81" t="str">
        <f t="shared" si="4"/>
        <v/>
      </c>
      <c r="G85" s="81" t="str">
        <f t="shared" si="5"/>
        <v/>
      </c>
      <c r="H85" s="81" t="str">
        <f t="shared" si="6"/>
        <v/>
      </c>
      <c r="I85" s="81" t="str">
        <f t="shared" si="7"/>
        <v/>
      </c>
      <c r="J85" s="82" t="str">
        <f t="shared" si="8"/>
        <v/>
      </c>
      <c r="K85" s="49"/>
      <c r="L85" s="49"/>
      <c r="M85" s="49"/>
      <c r="N85" s="49"/>
      <c r="O85" s="49"/>
      <c r="P85" s="49"/>
      <c r="Q85" s="49"/>
      <c r="R85" s="50"/>
      <c r="S85" s="51"/>
      <c r="T85" s="52" t="str">
        <f t="shared" si="9"/>
        <v xml:space="preserve">            \</v>
      </c>
      <c r="U85" s="52"/>
      <c r="V85" s="52"/>
      <c r="W85" s="52"/>
      <c r="X85" s="52"/>
      <c r="Y85" s="52"/>
      <c r="Z85" s="52"/>
      <c r="AA85" s="52"/>
      <c r="AB85" s="53"/>
      <c r="AC85" s="53"/>
      <c r="AD85" s="53"/>
    </row>
    <row r="86" spans="2:30">
      <c r="B86" s="48"/>
      <c r="C86" s="80" t="str">
        <f t="shared" si="1"/>
        <v/>
      </c>
      <c r="D86" s="81" t="str">
        <f t="shared" si="2"/>
        <v/>
      </c>
      <c r="E86" s="81" t="str">
        <f t="shared" si="3"/>
        <v/>
      </c>
      <c r="F86" s="81" t="str">
        <f t="shared" si="4"/>
        <v/>
      </c>
      <c r="G86" s="81" t="str">
        <f t="shared" si="5"/>
        <v/>
      </c>
      <c r="H86" s="81" t="str">
        <f t="shared" si="6"/>
        <v/>
      </c>
      <c r="I86" s="81" t="str">
        <f t="shared" si="7"/>
        <v/>
      </c>
      <c r="J86" s="82" t="str">
        <f t="shared" si="8"/>
        <v/>
      </c>
      <c r="K86" s="49"/>
      <c r="L86" s="49"/>
      <c r="M86" s="49"/>
      <c r="N86" s="49"/>
      <c r="O86" s="49"/>
      <c r="P86" s="49"/>
      <c r="Q86" s="49"/>
      <c r="R86" s="50"/>
      <c r="S86" s="51"/>
      <c r="T86" s="52" t="str">
        <f t="shared" si="9"/>
        <v xml:space="preserve">            \</v>
      </c>
      <c r="U86" s="52"/>
      <c r="V86" s="52"/>
      <c r="W86" s="52"/>
      <c r="X86" s="52"/>
      <c r="Y86" s="52"/>
      <c r="Z86" s="52"/>
      <c r="AA86" s="52"/>
      <c r="AB86" s="53"/>
      <c r="AC86" s="53"/>
      <c r="AD86" s="53"/>
    </row>
    <row r="87" spans="2:30">
      <c r="B87" s="67"/>
      <c r="C87" s="80" t="str">
        <f t="shared" si="1"/>
        <v/>
      </c>
      <c r="D87" s="81" t="str">
        <f t="shared" si="2"/>
        <v/>
      </c>
      <c r="E87" s="81" t="str">
        <f t="shared" si="3"/>
        <v/>
      </c>
      <c r="F87" s="81" t="str">
        <f t="shared" si="4"/>
        <v/>
      </c>
      <c r="G87" s="81" t="str">
        <f t="shared" si="5"/>
        <v/>
      </c>
      <c r="H87" s="81" t="str">
        <f t="shared" si="6"/>
        <v/>
      </c>
      <c r="I87" s="81" t="str">
        <f t="shared" si="7"/>
        <v/>
      </c>
      <c r="J87" s="82" t="str">
        <f t="shared" si="8"/>
        <v/>
      </c>
      <c r="K87" s="49"/>
      <c r="L87" s="49"/>
      <c r="M87" s="49"/>
      <c r="N87" s="49"/>
      <c r="O87" s="49"/>
      <c r="P87" s="49"/>
      <c r="Q87" s="49"/>
      <c r="R87" s="50"/>
      <c r="S87" s="51"/>
      <c r="T87" s="52" t="str">
        <f t="shared" si="9"/>
        <v xml:space="preserve">            \</v>
      </c>
      <c r="U87" s="52"/>
      <c r="V87" s="52"/>
      <c r="W87" s="52"/>
      <c r="X87" s="52"/>
      <c r="Y87" s="52"/>
      <c r="Z87" s="52"/>
      <c r="AA87" s="52"/>
      <c r="AB87" s="53"/>
      <c r="AC87" s="53"/>
      <c r="AD87" s="53"/>
    </row>
    <row r="88" spans="2:30">
      <c r="B88" s="48"/>
      <c r="C88" s="80" t="str">
        <f t="shared" si="1"/>
        <v/>
      </c>
      <c r="D88" s="81" t="str">
        <f t="shared" si="2"/>
        <v/>
      </c>
      <c r="E88" s="81" t="str">
        <f t="shared" si="3"/>
        <v/>
      </c>
      <c r="F88" s="81" t="str">
        <f t="shared" si="4"/>
        <v/>
      </c>
      <c r="G88" s="81" t="str">
        <f t="shared" si="5"/>
        <v/>
      </c>
      <c r="H88" s="81" t="str">
        <f t="shared" si="6"/>
        <v/>
      </c>
      <c r="I88" s="81" t="str">
        <f t="shared" si="7"/>
        <v/>
      </c>
      <c r="J88" s="82" t="str">
        <f t="shared" si="8"/>
        <v/>
      </c>
      <c r="K88" s="49"/>
      <c r="L88" s="49"/>
      <c r="M88" s="49"/>
      <c r="N88" s="49"/>
      <c r="O88" s="49"/>
      <c r="P88" s="49"/>
      <c r="Q88" s="49"/>
      <c r="R88" s="50"/>
      <c r="S88" s="51"/>
      <c r="T88" s="52" t="str">
        <f t="shared" si="9"/>
        <v xml:space="preserve">            \</v>
      </c>
      <c r="U88" s="52"/>
      <c r="V88" s="52"/>
      <c r="W88" s="52"/>
      <c r="X88" s="52"/>
      <c r="Y88" s="52"/>
      <c r="Z88" s="52"/>
      <c r="AA88" s="52"/>
      <c r="AB88" s="53"/>
      <c r="AC88" s="53"/>
      <c r="AD88" s="53"/>
    </row>
    <row r="89" spans="2:30">
      <c r="B89" s="48"/>
      <c r="C89" s="80" t="str">
        <f t="shared" si="1"/>
        <v/>
      </c>
      <c r="D89" s="81" t="str">
        <f t="shared" si="2"/>
        <v/>
      </c>
      <c r="E89" s="81" t="str">
        <f t="shared" si="3"/>
        <v/>
      </c>
      <c r="F89" s="81" t="str">
        <f t="shared" si="4"/>
        <v/>
      </c>
      <c r="G89" s="81" t="str">
        <f t="shared" si="5"/>
        <v/>
      </c>
      <c r="H89" s="81" t="str">
        <f t="shared" si="6"/>
        <v/>
      </c>
      <c r="I89" s="81" t="str">
        <f t="shared" si="7"/>
        <v/>
      </c>
      <c r="J89" s="82" t="str">
        <f t="shared" si="8"/>
        <v/>
      </c>
      <c r="K89" s="49"/>
      <c r="L89" s="49"/>
      <c r="M89" s="49"/>
      <c r="N89" s="49"/>
      <c r="O89" s="49"/>
      <c r="P89" s="49"/>
      <c r="Q89" s="49"/>
      <c r="R89" s="50"/>
      <c r="S89" s="51"/>
      <c r="T89" s="52" t="str">
        <f t="shared" si="9"/>
        <v xml:space="preserve">            \</v>
      </c>
      <c r="U89" s="52"/>
      <c r="V89" s="52"/>
      <c r="W89" s="52"/>
      <c r="X89" s="52"/>
      <c r="Y89" s="52"/>
      <c r="Z89" s="52"/>
      <c r="AA89" s="52"/>
      <c r="AB89" s="53"/>
      <c r="AC89" s="53"/>
      <c r="AD89" s="53"/>
    </row>
    <row r="90" spans="2:30">
      <c r="B90" s="48"/>
      <c r="C90" s="80" t="str">
        <f t="shared" si="1"/>
        <v/>
      </c>
      <c r="D90" s="81" t="str">
        <f t="shared" si="2"/>
        <v/>
      </c>
      <c r="E90" s="81" t="str">
        <f t="shared" si="3"/>
        <v/>
      </c>
      <c r="F90" s="81" t="str">
        <f t="shared" si="4"/>
        <v/>
      </c>
      <c r="G90" s="81" t="str">
        <f t="shared" si="5"/>
        <v/>
      </c>
      <c r="H90" s="81" t="str">
        <f t="shared" si="6"/>
        <v/>
      </c>
      <c r="I90" s="81" t="str">
        <f t="shared" si="7"/>
        <v/>
      </c>
      <c r="J90" s="82" t="str">
        <f t="shared" si="8"/>
        <v/>
      </c>
      <c r="K90" s="49"/>
      <c r="L90" s="49"/>
      <c r="M90" s="49"/>
      <c r="N90" s="49"/>
      <c r="O90" s="49"/>
      <c r="P90" s="49"/>
      <c r="Q90" s="49"/>
      <c r="R90" s="50"/>
      <c r="S90" s="51"/>
      <c r="T90" s="52" t="str">
        <f t="shared" si="9"/>
        <v xml:space="preserve">            \</v>
      </c>
      <c r="U90" s="52"/>
      <c r="V90" s="52"/>
      <c r="W90" s="52"/>
      <c r="X90" s="52"/>
      <c r="Y90" s="52"/>
      <c r="Z90" s="52"/>
      <c r="AA90" s="52"/>
      <c r="AB90" s="53"/>
      <c r="AC90" s="53"/>
      <c r="AD90" s="53"/>
    </row>
    <row r="91" spans="2:30">
      <c r="B91" s="48"/>
      <c r="C91" s="80" t="str">
        <f t="shared" si="1"/>
        <v/>
      </c>
      <c r="D91" s="81" t="str">
        <f t="shared" si="2"/>
        <v/>
      </c>
      <c r="E91" s="81" t="str">
        <f t="shared" si="3"/>
        <v/>
      </c>
      <c r="F91" s="81" t="str">
        <f t="shared" si="4"/>
        <v/>
      </c>
      <c r="G91" s="81" t="str">
        <f t="shared" si="5"/>
        <v/>
      </c>
      <c r="H91" s="81" t="str">
        <f t="shared" si="6"/>
        <v/>
      </c>
      <c r="I91" s="81" t="str">
        <f t="shared" si="7"/>
        <v/>
      </c>
      <c r="J91" s="82" t="str">
        <f t="shared" si="8"/>
        <v/>
      </c>
      <c r="K91" s="49"/>
      <c r="L91" s="49"/>
      <c r="M91" s="49"/>
      <c r="N91" s="49"/>
      <c r="O91" s="49"/>
      <c r="P91" s="49"/>
      <c r="Q91" s="49"/>
      <c r="R91" s="50"/>
      <c r="S91" s="51"/>
      <c r="T91" s="52" t="str">
        <f t="shared" si="9"/>
        <v xml:space="preserve">            \</v>
      </c>
      <c r="U91" s="52"/>
      <c r="V91" s="52"/>
      <c r="W91" s="52"/>
      <c r="X91" s="52"/>
      <c r="Y91" s="52"/>
      <c r="Z91" s="52"/>
      <c r="AA91" s="52"/>
      <c r="AB91" s="53"/>
      <c r="AC91" s="53"/>
      <c r="AD91" s="53"/>
    </row>
    <row r="92" spans="2:30">
      <c r="B92" s="48"/>
      <c r="C92" s="80" t="str">
        <f t="shared" si="1"/>
        <v/>
      </c>
      <c r="D92" s="81" t="str">
        <f t="shared" si="2"/>
        <v/>
      </c>
      <c r="E92" s="81" t="str">
        <f t="shared" si="3"/>
        <v/>
      </c>
      <c r="F92" s="81" t="str">
        <f t="shared" si="4"/>
        <v/>
      </c>
      <c r="G92" s="81" t="str">
        <f t="shared" si="5"/>
        <v/>
      </c>
      <c r="H92" s="81" t="str">
        <f t="shared" si="6"/>
        <v/>
      </c>
      <c r="I92" s="81" t="str">
        <f t="shared" si="7"/>
        <v/>
      </c>
      <c r="J92" s="82" t="str">
        <f t="shared" si="8"/>
        <v/>
      </c>
      <c r="K92" s="49"/>
      <c r="L92" s="49"/>
      <c r="M92" s="49"/>
      <c r="N92" s="49"/>
      <c r="O92" s="49"/>
      <c r="P92" s="49"/>
      <c r="Q92" s="49"/>
      <c r="R92" s="50"/>
      <c r="S92" s="51"/>
      <c r="T92" s="52" t="str">
        <f t="shared" si="9"/>
        <v xml:space="preserve">            \</v>
      </c>
      <c r="U92" s="52"/>
      <c r="V92" s="52"/>
      <c r="W92" s="52"/>
      <c r="X92" s="52"/>
      <c r="Y92" s="52"/>
      <c r="Z92" s="52"/>
      <c r="AA92" s="52"/>
      <c r="AB92" s="53"/>
      <c r="AC92" s="53"/>
      <c r="AD92" s="53"/>
    </row>
    <row r="93" spans="2:30">
      <c r="B93" s="48"/>
      <c r="C93" s="80" t="str">
        <f t="shared" si="1"/>
        <v/>
      </c>
      <c r="D93" s="81" t="str">
        <f t="shared" si="2"/>
        <v/>
      </c>
      <c r="E93" s="81" t="str">
        <f t="shared" si="3"/>
        <v/>
      </c>
      <c r="F93" s="81" t="str">
        <f t="shared" si="4"/>
        <v/>
      </c>
      <c r="G93" s="81" t="str">
        <f t="shared" si="5"/>
        <v/>
      </c>
      <c r="H93" s="81" t="str">
        <f t="shared" si="6"/>
        <v/>
      </c>
      <c r="I93" s="81" t="str">
        <f t="shared" si="7"/>
        <v/>
      </c>
      <c r="J93" s="82" t="str">
        <f t="shared" si="8"/>
        <v/>
      </c>
      <c r="K93" s="49"/>
      <c r="L93" s="49"/>
      <c r="M93" s="49"/>
      <c r="N93" s="49"/>
      <c r="O93" s="49"/>
      <c r="P93" s="49"/>
      <c r="Q93" s="49"/>
      <c r="R93" s="50"/>
      <c r="S93" s="51"/>
      <c r="T93" s="52" t="str">
        <f t="shared" si="9"/>
        <v xml:space="preserve">            \</v>
      </c>
      <c r="U93" s="52"/>
      <c r="V93" s="52"/>
      <c r="W93" s="52"/>
      <c r="X93" s="52"/>
      <c r="Y93" s="52"/>
      <c r="Z93" s="52"/>
      <c r="AA93" s="52"/>
      <c r="AB93" s="53"/>
      <c r="AC93" s="53"/>
      <c r="AD93" s="53"/>
    </row>
    <row r="94" spans="2:30" ht="15" thickBot="1">
      <c r="B94" s="57"/>
      <c r="C94" s="83" t="str">
        <f t="shared" si="1"/>
        <v/>
      </c>
      <c r="D94" s="84" t="str">
        <f t="shared" si="2"/>
        <v/>
      </c>
      <c r="E94" s="84" t="str">
        <f t="shared" si="3"/>
        <v/>
      </c>
      <c r="F94" s="84" t="str">
        <f t="shared" si="4"/>
        <v/>
      </c>
      <c r="G94" s="84" t="str">
        <f t="shared" si="5"/>
        <v/>
      </c>
      <c r="H94" s="84" t="str">
        <f t="shared" si="6"/>
        <v/>
      </c>
      <c r="I94" s="84" t="str">
        <f t="shared" si="7"/>
        <v/>
      </c>
      <c r="J94" s="85" t="str">
        <f t="shared" si="8"/>
        <v/>
      </c>
      <c r="K94" s="49"/>
      <c r="L94" s="49"/>
      <c r="M94" s="49"/>
      <c r="N94" s="49"/>
      <c r="O94" s="49"/>
      <c r="P94" s="49"/>
      <c r="Q94" s="49"/>
      <c r="R94" s="50"/>
      <c r="S94" s="51"/>
      <c r="T94" s="52" t="str">
        <f t="shared" si="9"/>
        <v xml:space="preserve">            \</v>
      </c>
      <c r="U94" s="52"/>
      <c r="V94" s="52"/>
      <c r="W94" s="52"/>
      <c r="X94" s="52"/>
      <c r="Y94" s="52"/>
      <c r="Z94" s="52"/>
      <c r="AA94" s="52"/>
      <c r="AB94" s="53"/>
      <c r="AC94" s="53"/>
      <c r="AD94" s="53"/>
    </row>
    <row r="95" spans="2:30">
      <c r="B95" s="48"/>
      <c r="C95" s="49"/>
      <c r="D95" s="49"/>
      <c r="E95" s="49"/>
      <c r="F95" s="49"/>
      <c r="G95" s="49"/>
      <c r="H95" s="49"/>
      <c r="I95" s="49"/>
      <c r="J95" s="49"/>
      <c r="K95" s="49"/>
      <c r="L95" s="49" t="s">
        <v>97</v>
      </c>
      <c r="M95" s="49"/>
      <c r="N95" s="49"/>
      <c r="O95" s="49"/>
      <c r="P95" s="49"/>
      <c r="Q95" s="49"/>
      <c r="R95" s="50"/>
      <c r="S95" s="51"/>
      <c r="T95" s="52" t="str">
        <f>C95&amp;D95&amp;E95&amp;F95&amp;G95&amp;H95&amp;I95&amp;J95&amp;L95</f>
        <v>} /* End of data */</v>
      </c>
      <c r="U95" s="52"/>
      <c r="V95" s="52"/>
      <c r="W95" s="52"/>
      <c r="X95" s="52"/>
      <c r="Y95" s="52"/>
      <c r="Z95" s="52"/>
      <c r="AA95" s="52"/>
      <c r="AB95" s="53"/>
      <c r="AC95" s="53"/>
      <c r="AD95" s="53"/>
    </row>
    <row r="96" spans="2:30" ht="15" thickBot="1">
      <c r="B96" s="57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1"/>
      <c r="S96" s="51"/>
      <c r="T96" s="52"/>
      <c r="U96" s="52"/>
      <c r="V96" s="52"/>
      <c r="W96" s="52"/>
      <c r="X96" s="52"/>
      <c r="Y96" s="52"/>
      <c r="Z96" s="52"/>
      <c r="AA96" s="52"/>
      <c r="AB96" s="53"/>
      <c r="AC96" s="53"/>
      <c r="AD96" s="53"/>
    </row>
    <row r="97" spans="19:30"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</row>
    <row r="98" spans="19:30"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</row>
    <row r="99" spans="19:30"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</row>
    <row r="115" spans="2:23"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</row>
    <row r="116" spans="2:23">
      <c r="B116" s="52"/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</row>
    <row r="117" spans="2:23"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</row>
    <row r="118" spans="2:23"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</row>
    <row r="119" spans="2:23"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</row>
    <row r="120" spans="2:23"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</row>
    <row r="121" spans="2:23"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</row>
    <row r="122" spans="2:23">
      <c r="B122" s="52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</row>
    <row r="123" spans="2:23"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</row>
    <row r="124" spans="2:23">
      <c r="B124" s="52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</row>
    <row r="125" spans="2:23"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</row>
    <row r="126" spans="2:23"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</row>
    <row r="127" spans="2:23"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</row>
    <row r="128" spans="2:23"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</row>
    <row r="129" spans="2:25"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</row>
    <row r="130" spans="2:25"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</row>
    <row r="131" spans="2:25"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</row>
    <row r="132" spans="2:25">
      <c r="B132" s="52"/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</row>
    <row r="133" spans="2:25"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</row>
    <row r="134" spans="2:25">
      <c r="B134" s="52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</row>
    <row r="135" spans="2:25">
      <c r="B135" s="52"/>
      <c r="C135" s="52"/>
      <c r="D135" s="52"/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</row>
    <row r="136" spans="2:25">
      <c r="B136" s="52"/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</row>
    <row r="137" spans="2:25">
      <c r="B137" s="52"/>
      <c r="C137" s="52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</row>
    <row r="138" spans="2:25">
      <c r="B138" s="52"/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</row>
    <row r="139" spans="2:25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3"/>
      <c r="Y139" s="53"/>
    </row>
    <row r="140" spans="2:25"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3"/>
      <c r="Y140" s="53"/>
    </row>
    <row r="141" spans="2:25"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3"/>
      <c r="Y141" s="53"/>
    </row>
    <row r="142" spans="2:25"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3"/>
      <c r="Y142" s="53"/>
    </row>
    <row r="143" spans="2:25" hidden="1" outlineLevel="1"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3"/>
      <c r="Y143" s="53"/>
    </row>
    <row r="144" spans="2:25" hidden="1" outlineLevel="1">
      <c r="B144" s="51" t="s">
        <v>55</v>
      </c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3"/>
      <c r="Y144" s="53"/>
    </row>
    <row r="145" spans="2:25" hidden="1" outlineLevel="1">
      <c r="B145" s="51" t="s">
        <v>28</v>
      </c>
      <c r="C145" s="104">
        <v>1</v>
      </c>
      <c r="D145" s="104">
        <v>2</v>
      </c>
      <c r="E145" s="104">
        <v>3</v>
      </c>
      <c r="F145" s="104">
        <v>4</v>
      </c>
      <c r="G145" s="104">
        <v>5</v>
      </c>
      <c r="H145" s="104">
        <v>6</v>
      </c>
      <c r="I145" s="104">
        <v>7</v>
      </c>
      <c r="J145" s="104">
        <v>8</v>
      </c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3"/>
      <c r="Y145" s="53"/>
    </row>
    <row r="146" spans="2:25" hidden="1" outlineLevel="1">
      <c r="B146" s="51"/>
      <c r="C146" s="104">
        <v>9</v>
      </c>
      <c r="D146" s="104">
        <v>10</v>
      </c>
      <c r="E146" s="104">
        <v>11</v>
      </c>
      <c r="F146" s="104">
        <v>12</v>
      </c>
      <c r="G146" s="104">
        <v>13</v>
      </c>
      <c r="H146" s="104">
        <v>14</v>
      </c>
      <c r="I146" s="104">
        <v>15</v>
      </c>
      <c r="J146" s="104">
        <v>16</v>
      </c>
      <c r="K146" s="51"/>
      <c r="L146" s="105"/>
      <c r="M146" s="105"/>
      <c r="N146" s="105"/>
      <c r="O146" s="105"/>
      <c r="P146" s="105"/>
      <c r="Q146" s="105"/>
      <c r="R146" s="105"/>
      <c r="S146" s="105"/>
      <c r="T146" s="105"/>
      <c r="U146" s="51"/>
      <c r="V146" s="51"/>
      <c r="W146" s="51"/>
      <c r="X146" s="53"/>
      <c r="Y146" s="53"/>
    </row>
    <row r="147" spans="2:25" hidden="1" outlineLevel="1">
      <c r="B147" s="51"/>
      <c r="C147" s="104">
        <v>17</v>
      </c>
      <c r="D147" s="104">
        <v>18</v>
      </c>
      <c r="E147" s="104">
        <v>19</v>
      </c>
      <c r="F147" s="104">
        <v>20</v>
      </c>
      <c r="G147" s="104">
        <v>21</v>
      </c>
      <c r="H147" s="104">
        <v>22</v>
      </c>
      <c r="I147" s="104">
        <v>23</v>
      </c>
      <c r="J147" s="104">
        <v>24</v>
      </c>
      <c r="K147" s="51"/>
      <c r="L147" s="105"/>
      <c r="M147" s="105"/>
      <c r="N147" s="105"/>
      <c r="O147" s="105"/>
      <c r="P147" s="105"/>
      <c r="Q147" s="105"/>
      <c r="R147" s="105"/>
      <c r="S147" s="105"/>
      <c r="T147" s="105"/>
      <c r="U147" s="51"/>
      <c r="V147" s="51"/>
      <c r="W147" s="51"/>
      <c r="X147" s="53"/>
      <c r="Y147" s="53"/>
    </row>
    <row r="148" spans="2:25" hidden="1" outlineLevel="1">
      <c r="B148" s="51"/>
      <c r="C148" s="104">
        <v>25</v>
      </c>
      <c r="D148" s="104">
        <v>26</v>
      </c>
      <c r="E148" s="104">
        <v>27</v>
      </c>
      <c r="F148" s="104">
        <v>28</v>
      </c>
      <c r="G148" s="104">
        <v>29</v>
      </c>
      <c r="H148" s="104">
        <v>30</v>
      </c>
      <c r="I148" s="104">
        <v>31</v>
      </c>
      <c r="J148" s="104">
        <v>32</v>
      </c>
      <c r="K148" s="51"/>
      <c r="L148" s="105"/>
      <c r="M148" s="105"/>
      <c r="N148" s="105"/>
      <c r="O148" s="105"/>
      <c r="P148" s="105"/>
      <c r="Q148" s="105"/>
      <c r="R148" s="105"/>
      <c r="S148" s="105"/>
      <c r="T148" s="105"/>
      <c r="U148" s="51"/>
      <c r="V148" s="51"/>
      <c r="W148" s="51"/>
      <c r="X148" s="53"/>
      <c r="Y148" s="53"/>
    </row>
    <row r="149" spans="2:25" hidden="1" outlineLevel="1">
      <c r="B149" s="51"/>
      <c r="C149" s="104">
        <v>33</v>
      </c>
      <c r="D149" s="104">
        <v>34</v>
      </c>
      <c r="E149" s="104">
        <v>35</v>
      </c>
      <c r="F149" s="104">
        <v>36</v>
      </c>
      <c r="G149" s="104">
        <v>37</v>
      </c>
      <c r="H149" s="104">
        <v>38</v>
      </c>
      <c r="I149" s="104">
        <v>39</v>
      </c>
      <c r="J149" s="104">
        <v>40</v>
      </c>
      <c r="K149" s="51"/>
      <c r="L149" s="105"/>
      <c r="M149" s="105"/>
      <c r="N149" s="105"/>
      <c r="O149" s="105"/>
      <c r="P149" s="105"/>
      <c r="Q149" s="105"/>
      <c r="R149" s="105"/>
      <c r="S149" s="105"/>
      <c r="T149" s="105"/>
      <c r="U149" s="51"/>
      <c r="V149" s="51"/>
      <c r="W149" s="51"/>
      <c r="X149" s="53"/>
      <c r="Y149" s="53"/>
    </row>
    <row r="150" spans="2:25" hidden="1" outlineLevel="1">
      <c r="B150" s="51"/>
      <c r="C150" s="104">
        <v>41</v>
      </c>
      <c r="D150" s="104">
        <v>42</v>
      </c>
      <c r="E150" s="104">
        <v>43</v>
      </c>
      <c r="F150" s="104">
        <v>44</v>
      </c>
      <c r="G150" s="104">
        <v>45</v>
      </c>
      <c r="H150" s="104">
        <v>46</v>
      </c>
      <c r="I150" s="104">
        <v>47</v>
      </c>
      <c r="J150" s="104">
        <v>48</v>
      </c>
      <c r="K150" s="51"/>
      <c r="L150" s="105"/>
      <c r="M150" s="105"/>
      <c r="N150" s="105"/>
      <c r="O150" s="105"/>
      <c r="P150" s="105"/>
      <c r="Q150" s="105"/>
      <c r="R150" s="105"/>
      <c r="S150" s="105"/>
      <c r="T150" s="105"/>
      <c r="U150" s="51"/>
      <c r="V150" s="51"/>
      <c r="W150" s="51"/>
      <c r="X150" s="53"/>
      <c r="Y150" s="53"/>
    </row>
    <row r="151" spans="2:25" hidden="1" outlineLevel="1">
      <c r="B151" s="51"/>
      <c r="C151" s="104">
        <v>49</v>
      </c>
      <c r="D151" s="104">
        <v>50</v>
      </c>
      <c r="E151" s="104">
        <v>51</v>
      </c>
      <c r="F151" s="104">
        <v>52</v>
      </c>
      <c r="G151" s="104">
        <v>53</v>
      </c>
      <c r="H151" s="104">
        <v>54</v>
      </c>
      <c r="I151" s="104">
        <v>55</v>
      </c>
      <c r="J151" s="104">
        <v>56</v>
      </c>
      <c r="K151" s="51"/>
      <c r="L151" s="105"/>
      <c r="M151" s="105"/>
      <c r="N151" s="105"/>
      <c r="O151" s="105"/>
      <c r="P151" s="105"/>
      <c r="Q151" s="105"/>
      <c r="R151" s="105"/>
      <c r="S151" s="105"/>
      <c r="T151" s="105"/>
      <c r="U151" s="51"/>
      <c r="V151" s="51"/>
      <c r="W151" s="51"/>
      <c r="X151" s="53"/>
      <c r="Y151" s="53"/>
    </row>
    <row r="152" spans="2:25" hidden="1" outlineLevel="1">
      <c r="B152" s="51"/>
      <c r="C152" s="104">
        <v>57</v>
      </c>
      <c r="D152" s="104">
        <v>58</v>
      </c>
      <c r="E152" s="104">
        <v>59</v>
      </c>
      <c r="F152" s="104">
        <v>60</v>
      </c>
      <c r="G152" s="104">
        <v>61</v>
      </c>
      <c r="H152" s="104">
        <v>62</v>
      </c>
      <c r="I152" s="104">
        <v>63</v>
      </c>
      <c r="J152" s="104">
        <v>64</v>
      </c>
      <c r="K152" s="51"/>
      <c r="L152" s="105"/>
      <c r="M152" s="105"/>
      <c r="N152" s="105"/>
      <c r="O152" s="105"/>
      <c r="P152" s="105"/>
      <c r="Q152" s="105"/>
      <c r="R152" s="105"/>
      <c r="S152" s="105"/>
      <c r="T152" s="105"/>
      <c r="U152" s="51"/>
      <c r="V152" s="51"/>
      <c r="W152" s="51"/>
      <c r="X152" s="53"/>
      <c r="Y152" s="53"/>
    </row>
    <row r="153" spans="2:25" hidden="1" outlineLevel="1">
      <c r="B153" s="51"/>
      <c r="C153" s="104">
        <v>65</v>
      </c>
      <c r="D153" s="104">
        <v>66</v>
      </c>
      <c r="E153" s="104">
        <v>67</v>
      </c>
      <c r="F153" s="104">
        <v>68</v>
      </c>
      <c r="G153" s="104">
        <v>69</v>
      </c>
      <c r="H153" s="104">
        <v>70</v>
      </c>
      <c r="I153" s="104">
        <v>71</v>
      </c>
      <c r="J153" s="104">
        <v>72</v>
      </c>
      <c r="K153" s="51"/>
      <c r="L153" s="105"/>
      <c r="M153" s="105"/>
      <c r="N153" s="105"/>
      <c r="O153" s="105"/>
      <c r="P153" s="105"/>
      <c r="Q153" s="105"/>
      <c r="R153" s="105"/>
      <c r="S153" s="105"/>
      <c r="T153" s="105"/>
      <c r="U153" s="51"/>
      <c r="V153" s="51"/>
      <c r="W153" s="51"/>
      <c r="X153" s="53"/>
      <c r="Y153" s="53"/>
    </row>
    <row r="154" spans="2:25" hidden="1" outlineLevel="1">
      <c r="B154" s="51"/>
      <c r="C154" s="104">
        <v>73</v>
      </c>
      <c r="D154" s="104">
        <v>74</v>
      </c>
      <c r="E154" s="104">
        <v>75</v>
      </c>
      <c r="F154" s="104">
        <v>76</v>
      </c>
      <c r="G154" s="104">
        <v>77</v>
      </c>
      <c r="H154" s="104">
        <v>78</v>
      </c>
      <c r="I154" s="104">
        <v>79</v>
      </c>
      <c r="J154" s="104">
        <v>80</v>
      </c>
      <c r="K154" s="51"/>
      <c r="L154" s="105"/>
      <c r="M154" s="105"/>
      <c r="N154" s="105"/>
      <c r="O154" s="105"/>
      <c r="P154" s="105"/>
      <c r="Q154" s="105"/>
      <c r="R154" s="105"/>
      <c r="S154" s="105"/>
      <c r="T154" s="105"/>
      <c r="U154" s="51"/>
      <c r="V154" s="51"/>
      <c r="W154" s="51"/>
      <c r="X154" s="53"/>
      <c r="Y154" s="53"/>
    </row>
    <row r="155" spans="2:25" hidden="1" outlineLevel="1">
      <c r="B155" s="51"/>
      <c r="C155" s="104">
        <v>81</v>
      </c>
      <c r="D155" s="104">
        <v>82</v>
      </c>
      <c r="E155" s="104">
        <v>83</v>
      </c>
      <c r="F155" s="104">
        <v>84</v>
      </c>
      <c r="G155" s="104">
        <v>85</v>
      </c>
      <c r="H155" s="104">
        <v>86</v>
      </c>
      <c r="I155" s="104">
        <v>87</v>
      </c>
      <c r="J155" s="104">
        <v>88</v>
      </c>
      <c r="K155" s="51"/>
      <c r="L155" s="105"/>
      <c r="M155" s="105"/>
      <c r="N155" s="105"/>
      <c r="O155" s="105"/>
      <c r="P155" s="105"/>
      <c r="Q155" s="105"/>
      <c r="R155" s="105"/>
      <c r="S155" s="105"/>
      <c r="T155" s="105"/>
      <c r="U155" s="51"/>
      <c r="V155" s="51"/>
      <c r="W155" s="51"/>
      <c r="X155" s="53"/>
      <c r="Y155" s="53"/>
    </row>
    <row r="156" spans="2:25" hidden="1" outlineLevel="1">
      <c r="B156" s="51"/>
      <c r="C156" s="104">
        <v>89</v>
      </c>
      <c r="D156" s="104">
        <v>90</v>
      </c>
      <c r="E156" s="104">
        <v>91</v>
      </c>
      <c r="F156" s="104">
        <v>92</v>
      </c>
      <c r="G156" s="104">
        <v>93</v>
      </c>
      <c r="H156" s="104">
        <v>94</v>
      </c>
      <c r="I156" s="104">
        <v>95</v>
      </c>
      <c r="J156" s="104">
        <v>96</v>
      </c>
      <c r="K156" s="51"/>
      <c r="L156" s="105"/>
      <c r="M156" s="105"/>
      <c r="N156" s="105"/>
      <c r="O156" s="105"/>
      <c r="P156" s="105"/>
      <c r="Q156" s="105"/>
      <c r="R156" s="105"/>
      <c r="S156" s="105"/>
      <c r="T156" s="105"/>
      <c r="U156" s="51"/>
      <c r="V156" s="51"/>
      <c r="W156" s="51"/>
      <c r="X156" s="53"/>
      <c r="Y156" s="53"/>
    </row>
    <row r="157" spans="2:25" hidden="1" outlineLevel="1">
      <c r="B157" s="51"/>
      <c r="C157" s="104">
        <v>97</v>
      </c>
      <c r="D157" s="104">
        <v>98</v>
      </c>
      <c r="E157" s="104">
        <v>99</v>
      </c>
      <c r="F157" s="104">
        <v>100</v>
      </c>
      <c r="G157" s="104">
        <v>101</v>
      </c>
      <c r="H157" s="104">
        <v>102</v>
      </c>
      <c r="I157" s="104">
        <v>103</v>
      </c>
      <c r="J157" s="104">
        <v>104</v>
      </c>
      <c r="K157" s="51"/>
      <c r="L157" s="105"/>
      <c r="M157" s="105"/>
      <c r="N157" s="105"/>
      <c r="O157" s="105"/>
      <c r="P157" s="105"/>
      <c r="Q157" s="105"/>
      <c r="R157" s="105"/>
      <c r="S157" s="105"/>
      <c r="T157" s="105"/>
      <c r="U157" s="51"/>
      <c r="V157" s="51"/>
      <c r="W157" s="51"/>
      <c r="X157" s="53"/>
      <c r="Y157" s="53"/>
    </row>
    <row r="158" spans="2:25" hidden="1" outlineLevel="1">
      <c r="B158" s="51"/>
      <c r="C158" s="104">
        <v>105</v>
      </c>
      <c r="D158" s="104">
        <v>106</v>
      </c>
      <c r="E158" s="104">
        <v>107</v>
      </c>
      <c r="F158" s="104">
        <v>108</v>
      </c>
      <c r="G158" s="104">
        <v>109</v>
      </c>
      <c r="H158" s="104">
        <v>110</v>
      </c>
      <c r="I158" s="104">
        <v>111</v>
      </c>
      <c r="J158" s="104">
        <v>112</v>
      </c>
      <c r="K158" s="51"/>
      <c r="L158" s="105"/>
      <c r="M158" s="105"/>
      <c r="N158" s="105"/>
      <c r="O158" s="105"/>
      <c r="P158" s="105"/>
      <c r="Q158" s="105"/>
      <c r="R158" s="105"/>
      <c r="S158" s="105"/>
      <c r="T158" s="105"/>
      <c r="U158" s="51"/>
      <c r="V158" s="51"/>
      <c r="W158" s="51"/>
      <c r="X158" s="53"/>
      <c r="Y158" s="53"/>
    </row>
    <row r="159" spans="2:25" hidden="1" outlineLevel="1">
      <c r="B159" s="51"/>
      <c r="C159" s="104">
        <v>113</v>
      </c>
      <c r="D159" s="104">
        <v>114</v>
      </c>
      <c r="E159" s="104">
        <v>115</v>
      </c>
      <c r="F159" s="104">
        <v>116</v>
      </c>
      <c r="G159" s="104">
        <v>117</v>
      </c>
      <c r="H159" s="104">
        <v>118</v>
      </c>
      <c r="I159" s="104">
        <v>119</v>
      </c>
      <c r="J159" s="104">
        <v>120</v>
      </c>
      <c r="K159" s="51"/>
      <c r="L159" s="105"/>
      <c r="M159" s="105"/>
      <c r="N159" s="105"/>
      <c r="O159" s="105"/>
      <c r="P159" s="105"/>
      <c r="Q159" s="105"/>
      <c r="R159" s="105"/>
      <c r="S159" s="105"/>
      <c r="T159" s="105"/>
      <c r="U159" s="51"/>
      <c r="V159" s="51"/>
      <c r="W159" s="51"/>
      <c r="X159" s="53"/>
      <c r="Y159" s="53"/>
    </row>
    <row r="160" spans="2:25" hidden="1" outlineLevel="1">
      <c r="B160" s="51"/>
      <c r="C160" s="104">
        <v>121</v>
      </c>
      <c r="D160" s="104">
        <v>122</v>
      </c>
      <c r="E160" s="104">
        <v>123</v>
      </c>
      <c r="F160" s="104">
        <v>124</v>
      </c>
      <c r="G160" s="104">
        <v>125</v>
      </c>
      <c r="H160" s="104">
        <v>126</v>
      </c>
      <c r="I160" s="104">
        <v>127</v>
      </c>
      <c r="J160" s="104">
        <v>128</v>
      </c>
      <c r="K160" s="51"/>
      <c r="L160" s="105"/>
      <c r="M160" s="105"/>
      <c r="N160" s="105"/>
      <c r="O160" s="105"/>
      <c r="P160" s="105"/>
      <c r="Q160" s="105"/>
      <c r="R160" s="105"/>
      <c r="S160" s="105"/>
      <c r="T160" s="105"/>
      <c r="U160" s="51"/>
      <c r="V160" s="51"/>
      <c r="W160" s="51"/>
      <c r="X160" s="53"/>
      <c r="Y160" s="53"/>
    </row>
    <row r="161" spans="2:25" hidden="1" outlineLevel="1">
      <c r="B161" s="51"/>
      <c r="C161" s="51"/>
      <c r="D161" s="51"/>
      <c r="E161" s="51"/>
      <c r="F161" s="51"/>
      <c r="G161" s="51"/>
      <c r="H161" s="51"/>
      <c r="I161" s="51"/>
      <c r="J161" s="51"/>
      <c r="K161" s="51"/>
      <c r="L161" s="105"/>
      <c r="M161" s="105"/>
      <c r="N161" s="105"/>
      <c r="O161" s="105"/>
      <c r="P161" s="105"/>
      <c r="Q161" s="105"/>
      <c r="R161" s="105"/>
      <c r="S161" s="105"/>
      <c r="T161" s="105"/>
      <c r="U161" s="51"/>
      <c r="V161" s="51"/>
      <c r="W161" s="51"/>
      <c r="X161" s="53"/>
      <c r="Y161" s="53"/>
    </row>
    <row r="162" spans="2:25" hidden="1" outlineLevel="1">
      <c r="B162" s="51"/>
      <c r="C162" s="51"/>
      <c r="D162" s="51"/>
      <c r="E162" s="51"/>
      <c r="F162" s="51"/>
      <c r="G162" s="51"/>
      <c r="H162" s="51"/>
      <c r="I162" s="51"/>
      <c r="J162" s="51"/>
      <c r="K162" s="51"/>
      <c r="L162" s="105"/>
      <c r="M162" s="105"/>
      <c r="N162" s="105"/>
      <c r="O162" s="105"/>
      <c r="P162" s="105"/>
      <c r="Q162" s="105"/>
      <c r="R162" s="105"/>
      <c r="S162" s="105"/>
      <c r="T162" s="105"/>
      <c r="U162" s="51"/>
      <c r="V162" s="51"/>
      <c r="W162" s="51"/>
      <c r="X162" s="53"/>
      <c r="Y162" s="53"/>
    </row>
    <row r="163" spans="2:25" hidden="1" outlineLevel="1">
      <c r="B163" s="51" t="s">
        <v>194</v>
      </c>
      <c r="C163" s="51"/>
      <c r="D163" s="51"/>
      <c r="E163" s="51"/>
      <c r="F163" s="51"/>
      <c r="G163" s="51"/>
      <c r="H163" s="51"/>
      <c r="I163" s="51"/>
      <c r="J163" s="51"/>
      <c r="K163" s="51"/>
      <c r="L163" s="105"/>
      <c r="M163" s="105"/>
      <c r="N163" s="105"/>
      <c r="O163" s="105"/>
      <c r="P163" s="105"/>
      <c r="Q163" s="105"/>
      <c r="R163" s="105"/>
      <c r="S163" s="105"/>
      <c r="T163" s="105"/>
      <c r="U163" s="51"/>
      <c r="V163" s="51"/>
      <c r="W163" s="51"/>
      <c r="X163" s="53"/>
      <c r="Y163" s="53"/>
    </row>
    <row r="164" spans="2:25" hidden="1" outlineLevel="1">
      <c r="B164" s="51"/>
      <c r="C164" s="51" t="str">
        <f>D14</f>
        <v>ti.com</v>
      </c>
      <c r="D164" s="51"/>
      <c r="E164" s="51"/>
      <c r="F164" s="51"/>
      <c r="G164" s="51"/>
      <c r="H164" s="51"/>
      <c r="I164" s="51"/>
      <c r="J164" s="51"/>
      <c r="K164" s="51"/>
      <c r="L164" s="105"/>
      <c r="M164" s="105"/>
      <c r="N164" s="105"/>
      <c r="O164" s="105"/>
      <c r="P164" s="105"/>
      <c r="Q164" s="105"/>
      <c r="R164" s="105"/>
      <c r="S164" s="105"/>
      <c r="T164" s="105"/>
      <c r="U164" s="51"/>
      <c r="V164" s="51"/>
      <c r="W164" s="51"/>
      <c r="X164" s="53"/>
      <c r="Y164" s="53"/>
    </row>
    <row r="165" spans="2:25" hidden="1" outlineLevel="1">
      <c r="B165" s="51">
        <v>1</v>
      </c>
      <c r="C165" s="104" t="str">
        <f t="shared" ref="C165:C180" si="10">MID($C$164,C145,1)</f>
        <v>t</v>
      </c>
      <c r="D165" s="104" t="str">
        <f t="shared" ref="D165:J165" si="11">MID($C$164,D145,1)</f>
        <v>i</v>
      </c>
      <c r="E165" s="104" t="str">
        <f t="shared" si="11"/>
        <v>.</v>
      </c>
      <c r="F165" s="104" t="str">
        <f t="shared" si="11"/>
        <v>c</v>
      </c>
      <c r="G165" s="104" t="str">
        <f t="shared" si="11"/>
        <v>o</v>
      </c>
      <c r="H165" s="104" t="str">
        <f t="shared" si="11"/>
        <v>m</v>
      </c>
      <c r="I165" s="104" t="str">
        <f t="shared" si="11"/>
        <v/>
      </c>
      <c r="J165" s="104" t="str">
        <f t="shared" si="11"/>
        <v/>
      </c>
      <c r="K165" s="51"/>
      <c r="L165" s="105"/>
      <c r="M165" s="106" t="str">
        <f t="shared" ref="M165:M180" si="12">IF(ISERR(CODE(C165)),"","0x"&amp;DEC2HEX(CODE(C165))&amp;", ")</f>
        <v xml:space="preserve">0x74, </v>
      </c>
      <c r="N165" s="106" t="str">
        <f t="shared" ref="N165:T165" si="13">IF(ISERR(CODE(D165)),"","0x"&amp;DEC2HEX(CODE(D165))&amp;", ")</f>
        <v xml:space="preserve">0x69, </v>
      </c>
      <c r="O165" s="106" t="str">
        <f t="shared" si="13"/>
        <v xml:space="preserve">0x2E, </v>
      </c>
      <c r="P165" s="106" t="str">
        <f t="shared" si="13"/>
        <v xml:space="preserve">0x63, </v>
      </c>
      <c r="Q165" s="106" t="str">
        <f t="shared" si="13"/>
        <v xml:space="preserve">0x6F, </v>
      </c>
      <c r="R165" s="106" t="str">
        <f t="shared" si="13"/>
        <v xml:space="preserve">0x6D, </v>
      </c>
      <c r="S165" s="106" t="str">
        <f t="shared" si="13"/>
        <v/>
      </c>
      <c r="T165" s="106" t="str">
        <f t="shared" si="13"/>
        <v/>
      </c>
      <c r="U165" s="51"/>
      <c r="V165" s="51"/>
      <c r="W165" s="51"/>
      <c r="X165" s="53"/>
      <c r="Y165" s="53"/>
    </row>
    <row r="166" spans="2:25" hidden="1" outlineLevel="1">
      <c r="B166" s="51">
        <v>9</v>
      </c>
      <c r="C166" s="104" t="str">
        <f t="shared" si="10"/>
        <v/>
      </c>
      <c r="D166" s="104" t="str">
        <f t="shared" ref="D166:J180" si="14">MID($C$164,D146,1)</f>
        <v/>
      </c>
      <c r="E166" s="104" t="str">
        <f t="shared" si="14"/>
        <v/>
      </c>
      <c r="F166" s="104" t="str">
        <f t="shared" si="14"/>
        <v/>
      </c>
      <c r="G166" s="104" t="str">
        <f t="shared" si="14"/>
        <v/>
      </c>
      <c r="H166" s="104" t="str">
        <f t="shared" si="14"/>
        <v/>
      </c>
      <c r="I166" s="104" t="str">
        <f t="shared" si="14"/>
        <v/>
      </c>
      <c r="J166" s="104" t="str">
        <f t="shared" si="14"/>
        <v/>
      </c>
      <c r="K166" s="51"/>
      <c r="L166" s="105"/>
      <c r="M166" s="106" t="str">
        <f t="shared" si="12"/>
        <v/>
      </c>
      <c r="N166" s="106" t="str">
        <f t="shared" ref="N166:N180" si="15">IF(ISERR(CODE(D166)),"","0x"&amp;DEC2HEX(CODE(D166))&amp;", ")</f>
        <v/>
      </c>
      <c r="O166" s="106" t="str">
        <f t="shared" ref="O166:O180" si="16">IF(ISERR(CODE(E166)),"","0x"&amp;DEC2HEX(CODE(E166))&amp;", ")</f>
        <v/>
      </c>
      <c r="P166" s="106" t="str">
        <f t="shared" ref="P166:P180" si="17">IF(ISERR(CODE(F166)),"","0x"&amp;DEC2HEX(CODE(F166))&amp;", ")</f>
        <v/>
      </c>
      <c r="Q166" s="106" t="str">
        <f t="shared" ref="Q166:Q180" si="18">IF(ISERR(CODE(G166)),"","0x"&amp;DEC2HEX(CODE(G166))&amp;", ")</f>
        <v/>
      </c>
      <c r="R166" s="106" t="str">
        <f t="shared" ref="R166:R180" si="19">IF(ISERR(CODE(H166)),"","0x"&amp;DEC2HEX(CODE(H166))&amp;", ")</f>
        <v/>
      </c>
      <c r="S166" s="106" t="str">
        <f t="shared" ref="S166:S180" si="20">IF(ISERR(CODE(I166)),"","0x"&amp;DEC2HEX(CODE(I166))&amp;", ")</f>
        <v/>
      </c>
      <c r="T166" s="106" t="str">
        <f t="shared" ref="T166:T180" si="21">IF(ISERR(CODE(J166)),"","0x"&amp;DEC2HEX(CODE(J166))&amp;", ")</f>
        <v/>
      </c>
      <c r="U166" s="51"/>
      <c r="V166" s="51"/>
      <c r="W166" s="51"/>
      <c r="X166" s="53"/>
      <c r="Y166" s="53"/>
    </row>
    <row r="167" spans="2:25" hidden="1" outlineLevel="1">
      <c r="B167" s="51">
        <v>17</v>
      </c>
      <c r="C167" s="104" t="str">
        <f t="shared" si="10"/>
        <v/>
      </c>
      <c r="D167" s="104" t="str">
        <f t="shared" si="14"/>
        <v/>
      </c>
      <c r="E167" s="104" t="str">
        <f t="shared" si="14"/>
        <v/>
      </c>
      <c r="F167" s="104" t="str">
        <f t="shared" si="14"/>
        <v/>
      </c>
      <c r="G167" s="104" t="str">
        <f t="shared" si="14"/>
        <v/>
      </c>
      <c r="H167" s="104" t="str">
        <f t="shared" si="14"/>
        <v/>
      </c>
      <c r="I167" s="104" t="str">
        <f t="shared" si="14"/>
        <v/>
      </c>
      <c r="J167" s="104" t="str">
        <f t="shared" si="14"/>
        <v/>
      </c>
      <c r="K167" s="51"/>
      <c r="L167" s="105"/>
      <c r="M167" s="106" t="str">
        <f t="shared" si="12"/>
        <v/>
      </c>
      <c r="N167" s="106" t="str">
        <f t="shared" si="15"/>
        <v/>
      </c>
      <c r="O167" s="106" t="str">
        <f t="shared" si="16"/>
        <v/>
      </c>
      <c r="P167" s="106" t="str">
        <f t="shared" si="17"/>
        <v/>
      </c>
      <c r="Q167" s="106" t="str">
        <f t="shared" si="18"/>
        <v/>
      </c>
      <c r="R167" s="106" t="str">
        <f t="shared" si="19"/>
        <v/>
      </c>
      <c r="S167" s="106" t="str">
        <f t="shared" si="20"/>
        <v/>
      </c>
      <c r="T167" s="106" t="str">
        <f t="shared" si="21"/>
        <v/>
      </c>
      <c r="U167" s="51"/>
      <c r="V167" s="51"/>
      <c r="W167" s="51"/>
      <c r="X167" s="53"/>
      <c r="Y167" s="53"/>
    </row>
    <row r="168" spans="2:25" hidden="1" outlineLevel="1">
      <c r="B168" s="51"/>
      <c r="C168" s="104" t="str">
        <f t="shared" si="10"/>
        <v/>
      </c>
      <c r="D168" s="104" t="str">
        <f t="shared" si="14"/>
        <v/>
      </c>
      <c r="E168" s="104" t="str">
        <f t="shared" si="14"/>
        <v/>
      </c>
      <c r="F168" s="104" t="str">
        <f t="shared" si="14"/>
        <v/>
      </c>
      <c r="G168" s="104" t="str">
        <f t="shared" si="14"/>
        <v/>
      </c>
      <c r="H168" s="104" t="str">
        <f t="shared" si="14"/>
        <v/>
      </c>
      <c r="I168" s="104" t="str">
        <f t="shared" si="14"/>
        <v/>
      </c>
      <c r="J168" s="104" t="str">
        <f t="shared" si="14"/>
        <v/>
      </c>
      <c r="K168" s="51"/>
      <c r="L168" s="105"/>
      <c r="M168" s="106" t="str">
        <f t="shared" si="12"/>
        <v/>
      </c>
      <c r="N168" s="106" t="str">
        <f t="shared" si="15"/>
        <v/>
      </c>
      <c r="O168" s="106" t="str">
        <f t="shared" si="16"/>
        <v/>
      </c>
      <c r="P168" s="106" t="str">
        <f t="shared" si="17"/>
        <v/>
      </c>
      <c r="Q168" s="106" t="str">
        <f t="shared" si="18"/>
        <v/>
      </c>
      <c r="R168" s="106" t="str">
        <f t="shared" si="19"/>
        <v/>
      </c>
      <c r="S168" s="106" t="str">
        <f t="shared" si="20"/>
        <v/>
      </c>
      <c r="T168" s="106" t="str">
        <f t="shared" si="21"/>
        <v/>
      </c>
      <c r="U168" s="51"/>
      <c r="V168" s="51"/>
      <c r="W168" s="51"/>
      <c r="X168" s="53"/>
      <c r="Y168" s="53"/>
    </row>
    <row r="169" spans="2:25" hidden="1" outlineLevel="1">
      <c r="B169" s="51"/>
      <c r="C169" s="104" t="str">
        <f t="shared" si="10"/>
        <v/>
      </c>
      <c r="D169" s="104" t="str">
        <f t="shared" si="14"/>
        <v/>
      </c>
      <c r="E169" s="104" t="str">
        <f t="shared" si="14"/>
        <v/>
      </c>
      <c r="F169" s="104" t="str">
        <f t="shared" si="14"/>
        <v/>
      </c>
      <c r="G169" s="104" t="str">
        <f t="shared" si="14"/>
        <v/>
      </c>
      <c r="H169" s="104" t="str">
        <f t="shared" si="14"/>
        <v/>
      </c>
      <c r="I169" s="104" t="str">
        <f t="shared" si="14"/>
        <v/>
      </c>
      <c r="J169" s="104" t="str">
        <f t="shared" si="14"/>
        <v/>
      </c>
      <c r="K169" s="51"/>
      <c r="L169" s="105"/>
      <c r="M169" s="106" t="str">
        <f t="shared" si="12"/>
        <v/>
      </c>
      <c r="N169" s="106" t="str">
        <f t="shared" si="15"/>
        <v/>
      </c>
      <c r="O169" s="106" t="str">
        <f t="shared" si="16"/>
        <v/>
      </c>
      <c r="P169" s="106" t="str">
        <f t="shared" si="17"/>
        <v/>
      </c>
      <c r="Q169" s="106" t="str">
        <f t="shared" si="18"/>
        <v/>
      </c>
      <c r="R169" s="106" t="str">
        <f t="shared" si="19"/>
        <v/>
      </c>
      <c r="S169" s="106" t="str">
        <f t="shared" si="20"/>
        <v/>
      </c>
      <c r="T169" s="106" t="str">
        <f t="shared" si="21"/>
        <v/>
      </c>
      <c r="U169" s="51"/>
      <c r="V169" s="51"/>
      <c r="W169" s="51"/>
      <c r="X169" s="53"/>
      <c r="Y169" s="53"/>
    </row>
    <row r="170" spans="2:25" hidden="1" outlineLevel="1">
      <c r="B170" s="51"/>
      <c r="C170" s="104" t="str">
        <f t="shared" si="10"/>
        <v/>
      </c>
      <c r="D170" s="104" t="str">
        <f t="shared" si="14"/>
        <v/>
      </c>
      <c r="E170" s="104" t="str">
        <f t="shared" si="14"/>
        <v/>
      </c>
      <c r="F170" s="104" t="str">
        <f t="shared" si="14"/>
        <v/>
      </c>
      <c r="G170" s="104" t="str">
        <f t="shared" si="14"/>
        <v/>
      </c>
      <c r="H170" s="104" t="str">
        <f t="shared" si="14"/>
        <v/>
      </c>
      <c r="I170" s="104" t="str">
        <f t="shared" si="14"/>
        <v/>
      </c>
      <c r="J170" s="104" t="str">
        <f t="shared" si="14"/>
        <v/>
      </c>
      <c r="K170" s="51"/>
      <c r="L170" s="105"/>
      <c r="M170" s="106" t="str">
        <f t="shared" si="12"/>
        <v/>
      </c>
      <c r="N170" s="106" t="str">
        <f t="shared" si="15"/>
        <v/>
      </c>
      <c r="O170" s="106" t="str">
        <f t="shared" si="16"/>
        <v/>
      </c>
      <c r="P170" s="106" t="str">
        <f t="shared" si="17"/>
        <v/>
      </c>
      <c r="Q170" s="106" t="str">
        <f t="shared" si="18"/>
        <v/>
      </c>
      <c r="R170" s="106" t="str">
        <f t="shared" si="19"/>
        <v/>
      </c>
      <c r="S170" s="106" t="str">
        <f t="shared" si="20"/>
        <v/>
      </c>
      <c r="T170" s="106" t="str">
        <f t="shared" si="21"/>
        <v/>
      </c>
      <c r="U170" s="51"/>
      <c r="V170" s="51"/>
      <c r="W170" s="51"/>
      <c r="X170" s="53"/>
      <c r="Y170" s="53"/>
    </row>
    <row r="171" spans="2:25" hidden="1" outlineLevel="1">
      <c r="B171" s="51"/>
      <c r="C171" s="104" t="str">
        <f t="shared" si="10"/>
        <v/>
      </c>
      <c r="D171" s="104" t="str">
        <f t="shared" si="14"/>
        <v/>
      </c>
      <c r="E171" s="104" t="str">
        <f t="shared" si="14"/>
        <v/>
      </c>
      <c r="F171" s="104" t="str">
        <f t="shared" si="14"/>
        <v/>
      </c>
      <c r="G171" s="104" t="str">
        <f t="shared" si="14"/>
        <v/>
      </c>
      <c r="H171" s="104" t="str">
        <f t="shared" si="14"/>
        <v/>
      </c>
      <c r="I171" s="104" t="str">
        <f t="shared" si="14"/>
        <v/>
      </c>
      <c r="J171" s="104" t="str">
        <f t="shared" si="14"/>
        <v/>
      </c>
      <c r="K171" s="51"/>
      <c r="L171" s="105"/>
      <c r="M171" s="106" t="str">
        <f t="shared" si="12"/>
        <v/>
      </c>
      <c r="N171" s="106" t="str">
        <f t="shared" si="15"/>
        <v/>
      </c>
      <c r="O171" s="106" t="str">
        <f t="shared" si="16"/>
        <v/>
      </c>
      <c r="P171" s="106" t="str">
        <f t="shared" si="17"/>
        <v/>
      </c>
      <c r="Q171" s="106" t="str">
        <f t="shared" si="18"/>
        <v/>
      </c>
      <c r="R171" s="106" t="str">
        <f t="shared" si="19"/>
        <v/>
      </c>
      <c r="S171" s="106" t="str">
        <f t="shared" si="20"/>
        <v/>
      </c>
      <c r="T171" s="106" t="str">
        <f t="shared" si="21"/>
        <v/>
      </c>
      <c r="U171" s="51"/>
      <c r="V171" s="51"/>
      <c r="W171" s="51"/>
      <c r="X171" s="53"/>
      <c r="Y171" s="53"/>
    </row>
    <row r="172" spans="2:25" hidden="1" outlineLevel="1">
      <c r="B172" s="51"/>
      <c r="C172" s="104" t="str">
        <f t="shared" si="10"/>
        <v/>
      </c>
      <c r="D172" s="104" t="str">
        <f t="shared" si="14"/>
        <v/>
      </c>
      <c r="E172" s="104" t="str">
        <f t="shared" si="14"/>
        <v/>
      </c>
      <c r="F172" s="104" t="str">
        <f t="shared" si="14"/>
        <v/>
      </c>
      <c r="G172" s="104" t="str">
        <f t="shared" si="14"/>
        <v/>
      </c>
      <c r="H172" s="104" t="str">
        <f t="shared" si="14"/>
        <v/>
      </c>
      <c r="I172" s="104" t="str">
        <f t="shared" si="14"/>
        <v/>
      </c>
      <c r="J172" s="104" t="str">
        <f t="shared" si="14"/>
        <v/>
      </c>
      <c r="K172" s="51"/>
      <c r="L172" s="105"/>
      <c r="M172" s="106" t="str">
        <f t="shared" si="12"/>
        <v/>
      </c>
      <c r="N172" s="106" t="str">
        <f t="shared" si="15"/>
        <v/>
      </c>
      <c r="O172" s="106" t="str">
        <f t="shared" si="16"/>
        <v/>
      </c>
      <c r="P172" s="106" t="str">
        <f t="shared" si="17"/>
        <v/>
      </c>
      <c r="Q172" s="106" t="str">
        <f t="shared" si="18"/>
        <v/>
      </c>
      <c r="R172" s="106" t="str">
        <f t="shared" si="19"/>
        <v/>
      </c>
      <c r="S172" s="106" t="str">
        <f t="shared" si="20"/>
        <v/>
      </c>
      <c r="T172" s="106" t="str">
        <f t="shared" si="21"/>
        <v/>
      </c>
      <c r="U172" s="51"/>
      <c r="V172" s="51"/>
      <c r="W172" s="51"/>
      <c r="X172" s="53"/>
      <c r="Y172" s="53"/>
    </row>
    <row r="173" spans="2:25" hidden="1" outlineLevel="1">
      <c r="B173" s="51"/>
      <c r="C173" s="104" t="str">
        <f t="shared" si="10"/>
        <v/>
      </c>
      <c r="D173" s="104" t="str">
        <f t="shared" si="14"/>
        <v/>
      </c>
      <c r="E173" s="104" t="str">
        <f t="shared" si="14"/>
        <v/>
      </c>
      <c r="F173" s="104" t="str">
        <f t="shared" si="14"/>
        <v/>
      </c>
      <c r="G173" s="104" t="str">
        <f t="shared" si="14"/>
        <v/>
      </c>
      <c r="H173" s="104" t="str">
        <f t="shared" si="14"/>
        <v/>
      </c>
      <c r="I173" s="104" t="str">
        <f t="shared" si="14"/>
        <v/>
      </c>
      <c r="J173" s="104" t="str">
        <f t="shared" si="14"/>
        <v/>
      </c>
      <c r="K173" s="51"/>
      <c r="L173" s="105"/>
      <c r="M173" s="106" t="str">
        <f t="shared" si="12"/>
        <v/>
      </c>
      <c r="N173" s="106" t="str">
        <f t="shared" si="15"/>
        <v/>
      </c>
      <c r="O173" s="106" t="str">
        <f t="shared" si="16"/>
        <v/>
      </c>
      <c r="P173" s="106" t="str">
        <f t="shared" si="17"/>
        <v/>
      </c>
      <c r="Q173" s="106" t="str">
        <f t="shared" si="18"/>
        <v/>
      </c>
      <c r="R173" s="106" t="str">
        <f t="shared" si="19"/>
        <v/>
      </c>
      <c r="S173" s="106" t="str">
        <f t="shared" si="20"/>
        <v/>
      </c>
      <c r="T173" s="106" t="str">
        <f t="shared" si="21"/>
        <v/>
      </c>
      <c r="U173" s="51"/>
      <c r="V173" s="51"/>
      <c r="W173" s="51"/>
      <c r="X173" s="53"/>
      <c r="Y173" s="53"/>
    </row>
    <row r="174" spans="2:25" hidden="1" outlineLevel="1">
      <c r="B174" s="51"/>
      <c r="C174" s="104" t="str">
        <f t="shared" si="10"/>
        <v/>
      </c>
      <c r="D174" s="104" t="str">
        <f t="shared" si="14"/>
        <v/>
      </c>
      <c r="E174" s="104" t="str">
        <f t="shared" si="14"/>
        <v/>
      </c>
      <c r="F174" s="104" t="str">
        <f t="shared" si="14"/>
        <v/>
      </c>
      <c r="G174" s="104" t="str">
        <f t="shared" si="14"/>
        <v/>
      </c>
      <c r="H174" s="104" t="str">
        <f t="shared" si="14"/>
        <v/>
      </c>
      <c r="I174" s="104" t="str">
        <f t="shared" si="14"/>
        <v/>
      </c>
      <c r="J174" s="104" t="str">
        <f t="shared" si="14"/>
        <v/>
      </c>
      <c r="K174" s="51"/>
      <c r="L174" s="105"/>
      <c r="M174" s="106" t="str">
        <f t="shared" si="12"/>
        <v/>
      </c>
      <c r="N174" s="106" t="str">
        <f t="shared" si="15"/>
        <v/>
      </c>
      <c r="O174" s="106" t="str">
        <f t="shared" si="16"/>
        <v/>
      </c>
      <c r="P174" s="106" t="str">
        <f t="shared" si="17"/>
        <v/>
      </c>
      <c r="Q174" s="106" t="str">
        <f t="shared" si="18"/>
        <v/>
      </c>
      <c r="R174" s="106" t="str">
        <f t="shared" si="19"/>
        <v/>
      </c>
      <c r="S174" s="106" t="str">
        <f t="shared" si="20"/>
        <v/>
      </c>
      <c r="T174" s="106" t="str">
        <f t="shared" si="21"/>
        <v/>
      </c>
      <c r="U174" s="51"/>
      <c r="V174" s="51"/>
      <c r="W174" s="51"/>
      <c r="X174" s="53"/>
      <c r="Y174" s="53"/>
    </row>
    <row r="175" spans="2:25" hidden="1" outlineLevel="1">
      <c r="B175" s="51"/>
      <c r="C175" s="104" t="str">
        <f t="shared" si="10"/>
        <v/>
      </c>
      <c r="D175" s="104" t="str">
        <f t="shared" si="14"/>
        <v/>
      </c>
      <c r="E175" s="104" t="str">
        <f t="shared" si="14"/>
        <v/>
      </c>
      <c r="F175" s="104" t="str">
        <f t="shared" si="14"/>
        <v/>
      </c>
      <c r="G175" s="104" t="str">
        <f t="shared" si="14"/>
        <v/>
      </c>
      <c r="H175" s="104" t="str">
        <f t="shared" si="14"/>
        <v/>
      </c>
      <c r="I175" s="104" t="str">
        <f t="shared" si="14"/>
        <v/>
      </c>
      <c r="J175" s="104" t="str">
        <f t="shared" si="14"/>
        <v/>
      </c>
      <c r="K175" s="51"/>
      <c r="L175" s="105"/>
      <c r="M175" s="106" t="str">
        <f t="shared" si="12"/>
        <v/>
      </c>
      <c r="N175" s="106" t="str">
        <f t="shared" si="15"/>
        <v/>
      </c>
      <c r="O175" s="106" t="str">
        <f t="shared" si="16"/>
        <v/>
      </c>
      <c r="P175" s="106" t="str">
        <f t="shared" si="17"/>
        <v/>
      </c>
      <c r="Q175" s="106" t="str">
        <f t="shared" si="18"/>
        <v/>
      </c>
      <c r="R175" s="106" t="str">
        <f t="shared" si="19"/>
        <v/>
      </c>
      <c r="S175" s="106" t="str">
        <f t="shared" si="20"/>
        <v/>
      </c>
      <c r="T175" s="106" t="str">
        <f t="shared" si="21"/>
        <v/>
      </c>
      <c r="U175" s="51"/>
      <c r="V175" s="51"/>
      <c r="W175" s="51"/>
      <c r="X175" s="53"/>
      <c r="Y175" s="53"/>
    </row>
    <row r="176" spans="2:25" hidden="1" outlineLevel="1">
      <c r="B176" s="51"/>
      <c r="C176" s="104" t="str">
        <f t="shared" si="10"/>
        <v/>
      </c>
      <c r="D176" s="104" t="str">
        <f t="shared" si="14"/>
        <v/>
      </c>
      <c r="E176" s="104" t="str">
        <f t="shared" si="14"/>
        <v/>
      </c>
      <c r="F176" s="104" t="str">
        <f t="shared" si="14"/>
        <v/>
      </c>
      <c r="G176" s="104" t="str">
        <f t="shared" si="14"/>
        <v/>
      </c>
      <c r="H176" s="104" t="str">
        <f t="shared" si="14"/>
        <v/>
      </c>
      <c r="I176" s="104" t="str">
        <f t="shared" si="14"/>
        <v/>
      </c>
      <c r="J176" s="104" t="str">
        <f t="shared" si="14"/>
        <v/>
      </c>
      <c r="K176" s="51"/>
      <c r="L176" s="105"/>
      <c r="M176" s="106" t="str">
        <f t="shared" si="12"/>
        <v/>
      </c>
      <c r="N176" s="106" t="str">
        <f t="shared" si="15"/>
        <v/>
      </c>
      <c r="O176" s="106" t="str">
        <f t="shared" si="16"/>
        <v/>
      </c>
      <c r="P176" s="106" t="str">
        <f t="shared" si="17"/>
        <v/>
      </c>
      <c r="Q176" s="106" t="str">
        <f t="shared" si="18"/>
        <v/>
      </c>
      <c r="R176" s="106" t="str">
        <f t="shared" si="19"/>
        <v/>
      </c>
      <c r="S176" s="106" t="str">
        <f t="shared" si="20"/>
        <v/>
      </c>
      <c r="T176" s="106" t="str">
        <f t="shared" si="21"/>
        <v/>
      </c>
      <c r="U176" s="51"/>
      <c r="V176" s="51"/>
      <c r="W176" s="51"/>
      <c r="X176" s="53"/>
      <c r="Y176" s="53"/>
    </row>
    <row r="177" spans="2:25" hidden="1" outlineLevel="1">
      <c r="B177" s="51"/>
      <c r="C177" s="104" t="str">
        <f t="shared" si="10"/>
        <v/>
      </c>
      <c r="D177" s="104" t="str">
        <f t="shared" si="14"/>
        <v/>
      </c>
      <c r="E177" s="104" t="str">
        <f t="shared" si="14"/>
        <v/>
      </c>
      <c r="F177" s="104" t="str">
        <f t="shared" si="14"/>
        <v/>
      </c>
      <c r="G177" s="104" t="str">
        <f t="shared" si="14"/>
        <v/>
      </c>
      <c r="H177" s="104" t="str">
        <f t="shared" si="14"/>
        <v/>
      </c>
      <c r="I177" s="104" t="str">
        <f t="shared" si="14"/>
        <v/>
      </c>
      <c r="J177" s="104" t="str">
        <f t="shared" si="14"/>
        <v/>
      </c>
      <c r="K177" s="51"/>
      <c r="L177" s="105"/>
      <c r="M177" s="106" t="str">
        <f t="shared" si="12"/>
        <v/>
      </c>
      <c r="N177" s="106" t="str">
        <f t="shared" si="15"/>
        <v/>
      </c>
      <c r="O177" s="106" t="str">
        <f t="shared" si="16"/>
        <v/>
      </c>
      <c r="P177" s="106" t="str">
        <f t="shared" si="17"/>
        <v/>
      </c>
      <c r="Q177" s="106" t="str">
        <f t="shared" si="18"/>
        <v/>
      </c>
      <c r="R177" s="106" t="str">
        <f t="shared" si="19"/>
        <v/>
      </c>
      <c r="S177" s="106" t="str">
        <f t="shared" si="20"/>
        <v/>
      </c>
      <c r="T177" s="106" t="str">
        <f t="shared" si="21"/>
        <v/>
      </c>
      <c r="U177" s="51"/>
      <c r="V177" s="51"/>
      <c r="W177" s="51"/>
      <c r="X177" s="53"/>
      <c r="Y177" s="53"/>
    </row>
    <row r="178" spans="2:25" hidden="1" outlineLevel="1">
      <c r="B178" s="51"/>
      <c r="C178" s="104" t="str">
        <f t="shared" si="10"/>
        <v/>
      </c>
      <c r="D178" s="104" t="str">
        <f t="shared" si="14"/>
        <v/>
      </c>
      <c r="E178" s="104" t="str">
        <f t="shared" si="14"/>
        <v/>
      </c>
      <c r="F178" s="104" t="str">
        <f t="shared" si="14"/>
        <v/>
      </c>
      <c r="G178" s="104" t="str">
        <f t="shared" si="14"/>
        <v/>
      </c>
      <c r="H178" s="104" t="str">
        <f t="shared" si="14"/>
        <v/>
      </c>
      <c r="I178" s="104" t="str">
        <f t="shared" si="14"/>
        <v/>
      </c>
      <c r="J178" s="104" t="str">
        <f t="shared" si="14"/>
        <v/>
      </c>
      <c r="K178" s="51"/>
      <c r="L178" s="105"/>
      <c r="M178" s="106" t="str">
        <f t="shared" si="12"/>
        <v/>
      </c>
      <c r="N178" s="106" t="str">
        <f t="shared" si="15"/>
        <v/>
      </c>
      <c r="O178" s="106" t="str">
        <f t="shared" si="16"/>
        <v/>
      </c>
      <c r="P178" s="106" t="str">
        <f t="shared" si="17"/>
        <v/>
      </c>
      <c r="Q178" s="106" t="str">
        <f t="shared" si="18"/>
        <v/>
      </c>
      <c r="R178" s="106" t="str">
        <f t="shared" si="19"/>
        <v/>
      </c>
      <c r="S178" s="106" t="str">
        <f t="shared" si="20"/>
        <v/>
      </c>
      <c r="T178" s="106" t="str">
        <f t="shared" si="21"/>
        <v/>
      </c>
      <c r="U178" s="51"/>
      <c r="V178" s="51"/>
      <c r="W178" s="51"/>
      <c r="X178" s="53"/>
      <c r="Y178" s="53"/>
    </row>
    <row r="179" spans="2:25" hidden="1" outlineLevel="1">
      <c r="B179" s="51"/>
      <c r="C179" s="104" t="str">
        <f t="shared" si="10"/>
        <v/>
      </c>
      <c r="D179" s="104" t="str">
        <f t="shared" si="14"/>
        <v/>
      </c>
      <c r="E179" s="104" t="str">
        <f t="shared" si="14"/>
        <v/>
      </c>
      <c r="F179" s="104" t="str">
        <f t="shared" si="14"/>
        <v/>
      </c>
      <c r="G179" s="104" t="str">
        <f t="shared" si="14"/>
        <v/>
      </c>
      <c r="H179" s="104" t="str">
        <f t="shared" si="14"/>
        <v/>
      </c>
      <c r="I179" s="104" t="str">
        <f t="shared" si="14"/>
        <v/>
      </c>
      <c r="J179" s="104" t="str">
        <f t="shared" si="14"/>
        <v/>
      </c>
      <c r="K179" s="51"/>
      <c r="L179" s="105"/>
      <c r="M179" s="106" t="str">
        <f t="shared" si="12"/>
        <v/>
      </c>
      <c r="N179" s="106" t="str">
        <f t="shared" si="15"/>
        <v/>
      </c>
      <c r="O179" s="106" t="str">
        <f t="shared" si="16"/>
        <v/>
      </c>
      <c r="P179" s="106" t="str">
        <f t="shared" si="17"/>
        <v/>
      </c>
      <c r="Q179" s="106" t="str">
        <f t="shared" si="18"/>
        <v/>
      </c>
      <c r="R179" s="106" t="str">
        <f t="shared" si="19"/>
        <v/>
      </c>
      <c r="S179" s="106" t="str">
        <f t="shared" si="20"/>
        <v/>
      </c>
      <c r="T179" s="106" t="str">
        <f t="shared" si="21"/>
        <v/>
      </c>
      <c r="U179" s="51"/>
      <c r="V179" s="51"/>
      <c r="W179" s="51"/>
      <c r="X179" s="53"/>
      <c r="Y179" s="53"/>
    </row>
    <row r="180" spans="2:25" hidden="1" outlineLevel="1">
      <c r="B180" s="51"/>
      <c r="C180" s="104" t="str">
        <f t="shared" si="10"/>
        <v/>
      </c>
      <c r="D180" s="104" t="str">
        <f t="shared" si="14"/>
        <v/>
      </c>
      <c r="E180" s="104" t="str">
        <f t="shared" si="14"/>
        <v/>
      </c>
      <c r="F180" s="104" t="str">
        <f t="shared" si="14"/>
        <v/>
      </c>
      <c r="G180" s="104" t="str">
        <f t="shared" si="14"/>
        <v/>
      </c>
      <c r="H180" s="104" t="str">
        <f t="shared" si="14"/>
        <v/>
      </c>
      <c r="I180" s="104" t="str">
        <f t="shared" si="14"/>
        <v/>
      </c>
      <c r="J180" s="104" t="str">
        <f t="shared" si="14"/>
        <v/>
      </c>
      <c r="K180" s="51"/>
      <c r="L180" s="105"/>
      <c r="M180" s="106" t="str">
        <f t="shared" si="12"/>
        <v/>
      </c>
      <c r="N180" s="106" t="str">
        <f t="shared" si="15"/>
        <v/>
      </c>
      <c r="O180" s="106" t="str">
        <f t="shared" si="16"/>
        <v/>
      </c>
      <c r="P180" s="106" t="str">
        <f t="shared" si="17"/>
        <v/>
      </c>
      <c r="Q180" s="106" t="str">
        <f t="shared" si="18"/>
        <v/>
      </c>
      <c r="R180" s="106" t="str">
        <f t="shared" si="19"/>
        <v/>
      </c>
      <c r="S180" s="106" t="str">
        <f t="shared" si="20"/>
        <v/>
      </c>
      <c r="T180" s="106" t="str">
        <f t="shared" si="21"/>
        <v/>
      </c>
      <c r="U180" s="51"/>
      <c r="V180" s="51"/>
      <c r="W180" s="51"/>
      <c r="X180" s="53"/>
      <c r="Y180" s="53"/>
    </row>
    <row r="181" spans="2:25" hidden="1" outlineLevel="1">
      <c r="B181" s="51"/>
      <c r="C181" s="51"/>
      <c r="D181" s="51"/>
      <c r="E181" s="51"/>
      <c r="F181" s="51"/>
      <c r="G181" s="51"/>
      <c r="H181" s="51"/>
      <c r="I181" s="51"/>
      <c r="J181" s="51"/>
      <c r="K181" s="51"/>
      <c r="L181" s="105"/>
      <c r="M181" s="105"/>
      <c r="N181" s="105"/>
      <c r="O181" s="105"/>
      <c r="P181" s="105"/>
      <c r="Q181" s="105"/>
      <c r="R181" s="105"/>
      <c r="S181" s="105"/>
      <c r="T181" s="105"/>
      <c r="U181" s="51"/>
      <c r="V181" s="51"/>
      <c r="W181" s="51"/>
      <c r="X181" s="53"/>
      <c r="Y181" s="53"/>
    </row>
    <row r="182" spans="2:25" hidden="1" outlineLevel="1">
      <c r="B182" s="51" t="s">
        <v>44</v>
      </c>
      <c r="C182" s="51"/>
      <c r="D182" s="51" t="s">
        <v>38</v>
      </c>
      <c r="E182" s="51" t="s">
        <v>40</v>
      </c>
      <c r="F182" s="51"/>
      <c r="G182" s="51" t="s">
        <v>37</v>
      </c>
      <c r="H182" s="51" t="str">
        <f>F27</f>
        <v>On</v>
      </c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3"/>
      <c r="Y182" s="53"/>
    </row>
    <row r="183" spans="2:25" hidden="1" outlineLevel="1">
      <c r="B183" s="51"/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3"/>
      <c r="Y183" s="53"/>
    </row>
    <row r="184" spans="2:25" hidden="1" outlineLevel="1">
      <c r="B184" s="51"/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3"/>
      <c r="Y184" s="53"/>
    </row>
    <row r="185" spans="2:25" hidden="1" outlineLevel="1">
      <c r="B185" s="51"/>
      <c r="C185" s="51" t="s">
        <v>69</v>
      </c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3"/>
      <c r="Y185" s="53"/>
    </row>
    <row r="186" spans="2:25" hidden="1" outlineLevel="1">
      <c r="B186" s="51"/>
      <c r="C186" s="51"/>
      <c r="D186" s="51" t="s">
        <v>70</v>
      </c>
      <c r="E186" s="51"/>
      <c r="F186" s="51">
        <v>1</v>
      </c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3"/>
      <c r="Y186" s="53"/>
    </row>
    <row r="187" spans="2:25" hidden="1" outlineLevel="1">
      <c r="B187" s="51"/>
      <c r="C187" s="51"/>
      <c r="D187" s="51" t="s">
        <v>193</v>
      </c>
      <c r="E187" s="51"/>
      <c r="F187" s="51">
        <f>COUNTA(M165:T180)-COUNTIF(M165:T180,"")</f>
        <v>6</v>
      </c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3"/>
      <c r="Y187" s="53"/>
    </row>
    <row r="188" spans="2:25" hidden="1" outlineLevel="1">
      <c r="B188" s="51"/>
      <c r="C188" s="51"/>
      <c r="D188" s="51" t="s">
        <v>77</v>
      </c>
      <c r="E188" s="51"/>
      <c r="F188" s="51">
        <f>SUM(F186:F187)</f>
        <v>7</v>
      </c>
      <c r="G188" s="51"/>
      <c r="H188" s="51"/>
      <c r="I188" s="51"/>
      <c r="J188" s="51"/>
      <c r="K188" s="51"/>
      <c r="L188" s="51" t="str">
        <f>"0x"&amp;DEC2HEX(F188,2)&amp;","</f>
        <v>0x07,</v>
      </c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3"/>
      <c r="Y188" s="53"/>
    </row>
    <row r="189" spans="2:25" hidden="1" outlineLevel="1">
      <c r="B189" s="51"/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3"/>
      <c r="Y189" s="53"/>
    </row>
    <row r="190" spans="2:25" hidden="1" outlineLevel="1">
      <c r="B190" s="51"/>
      <c r="C190" s="51" t="s">
        <v>78</v>
      </c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3"/>
      <c r="Y190" s="53"/>
    </row>
    <row r="191" spans="2:25" hidden="1" outlineLevel="1">
      <c r="B191" s="51"/>
      <c r="C191" s="51"/>
      <c r="D191" s="51" t="s">
        <v>82</v>
      </c>
      <c r="E191" s="51"/>
      <c r="F191" s="51">
        <v>1</v>
      </c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3"/>
      <c r="Y191" s="53"/>
    </row>
    <row r="192" spans="2:25" hidden="1" outlineLevel="1">
      <c r="B192" s="51"/>
      <c r="C192" s="51"/>
      <c r="D192" s="51" t="s">
        <v>81</v>
      </c>
      <c r="E192" s="51"/>
      <c r="F192" s="51">
        <v>1</v>
      </c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3"/>
      <c r="Y192" s="53"/>
    </row>
    <row r="193" spans="2:25" hidden="1" outlineLevel="1">
      <c r="B193" s="51"/>
      <c r="C193" s="51"/>
      <c r="D193" s="51" t="s">
        <v>80</v>
      </c>
      <c r="E193" s="51"/>
      <c r="F193" s="51">
        <v>1</v>
      </c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3"/>
      <c r="Y193" s="53"/>
    </row>
    <row r="194" spans="2:25" hidden="1" outlineLevel="1">
      <c r="B194" s="51"/>
      <c r="C194" s="51"/>
      <c r="D194" s="51" t="s">
        <v>83</v>
      </c>
      <c r="E194" s="51"/>
      <c r="F194" s="51">
        <v>1</v>
      </c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3"/>
      <c r="Y194" s="53"/>
    </row>
    <row r="195" spans="2:25" hidden="1" outlineLevel="1">
      <c r="B195" s="51"/>
      <c r="C195" s="51"/>
      <c r="D195" s="51" t="s">
        <v>65</v>
      </c>
      <c r="E195" s="51"/>
      <c r="F195" s="51">
        <f>F188</f>
        <v>7</v>
      </c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3"/>
      <c r="Y195" s="53"/>
    </row>
    <row r="196" spans="2:25" hidden="1" outlineLevel="1">
      <c r="B196" s="51"/>
      <c r="C196" s="51"/>
      <c r="D196" s="51" t="s">
        <v>77</v>
      </c>
      <c r="E196" s="51"/>
      <c r="F196" s="51">
        <f>SUM(F191:F195)</f>
        <v>11</v>
      </c>
      <c r="G196" s="51"/>
      <c r="H196" s="51"/>
      <c r="I196" s="51"/>
      <c r="J196" s="51"/>
      <c r="K196" s="51"/>
      <c r="L196" s="51" t="str">
        <f>"0x"&amp;DEC2HEX(F196,2)&amp;","</f>
        <v>0x0B,</v>
      </c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3"/>
      <c r="Y196" s="53"/>
    </row>
    <row r="197" spans="2:25" hidden="1" outlineLevel="1">
      <c r="B197" s="51"/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3"/>
      <c r="Y197" s="53"/>
    </row>
    <row r="198" spans="2:25" hidden="1" outlineLevel="1">
      <c r="B198" s="51"/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3"/>
      <c r="Y198" s="53"/>
    </row>
    <row r="199" spans="2:25" hidden="1" outlineLevel="1">
      <c r="B199" s="51" t="s">
        <v>765</v>
      </c>
      <c r="C199" s="51" t="str">
        <f>IF(H182="On","    \","")</f>
        <v xml:space="preserve">    \</v>
      </c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3"/>
      <c r="Y199" s="53"/>
    </row>
    <row r="200" spans="2:25" hidden="1" outlineLevel="1">
      <c r="B200" s="51"/>
      <c r="C200" s="51"/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3"/>
      <c r="Y200" s="53"/>
    </row>
    <row r="201" spans="2:25" hidden="1" outlineLevel="1">
      <c r="B201" s="51"/>
      <c r="C201" s="51"/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3"/>
      <c r="Y201" s="53"/>
    </row>
    <row r="202" spans="2:25" ht="15" hidden="1" outlineLevel="1" thickBot="1">
      <c r="B202" s="128"/>
      <c r="C202" s="128"/>
      <c r="D202" s="128"/>
      <c r="E202" s="128"/>
      <c r="F202" s="128"/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3"/>
      <c r="Y202" s="53"/>
    </row>
    <row r="203" spans="2:25" hidden="1" outlineLevel="1">
      <c r="B203" s="129"/>
      <c r="C203" s="130" t="s">
        <v>115</v>
      </c>
      <c r="D203" s="131" t="s">
        <v>116</v>
      </c>
      <c r="E203" s="129"/>
      <c r="F203" s="129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</row>
    <row r="204" spans="2:25" ht="38.25" hidden="1" outlineLevel="1">
      <c r="B204" s="129"/>
      <c r="C204" s="132" t="str">
        <f>"No abbreviation"</f>
        <v>No abbreviation</v>
      </c>
      <c r="D204" s="133" t="s">
        <v>117</v>
      </c>
      <c r="E204" s="129"/>
      <c r="F204" s="129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</row>
    <row r="205" spans="2:25" ht="25.5" hidden="1" outlineLevel="1">
      <c r="B205" s="129"/>
      <c r="C205" s="134" t="s">
        <v>771</v>
      </c>
      <c r="D205" s="133" t="s">
        <v>118</v>
      </c>
      <c r="E205" s="129"/>
      <c r="F205" s="129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</row>
    <row r="206" spans="2:25" ht="25.5" hidden="1" outlineLevel="1">
      <c r="B206" s="135"/>
      <c r="C206" s="134" t="s">
        <v>119</v>
      </c>
      <c r="D206" s="133" t="s">
        <v>120</v>
      </c>
      <c r="E206" s="135"/>
      <c r="F206" s="135"/>
    </row>
    <row r="207" spans="2:25" hidden="1" outlineLevel="1">
      <c r="B207" s="135"/>
      <c r="C207" s="134" t="s">
        <v>121</v>
      </c>
      <c r="D207" s="133" t="s">
        <v>122</v>
      </c>
      <c r="E207" s="135"/>
      <c r="F207" s="135"/>
    </row>
    <row r="208" spans="2:25" hidden="1" outlineLevel="1">
      <c r="B208" s="135"/>
      <c r="C208" s="132" t="s">
        <v>123</v>
      </c>
      <c r="D208" s="133" t="s">
        <v>124</v>
      </c>
      <c r="E208" s="135"/>
      <c r="F208" s="135"/>
    </row>
    <row r="209" spans="2:6" hidden="1" outlineLevel="1">
      <c r="B209" s="135"/>
      <c r="C209" s="132" t="s">
        <v>125</v>
      </c>
      <c r="D209" s="133" t="s">
        <v>126</v>
      </c>
      <c r="E209" s="135"/>
      <c r="F209" s="135"/>
    </row>
    <row r="210" spans="2:6" hidden="1" outlineLevel="1">
      <c r="B210" s="135"/>
      <c r="C210" s="132" t="s">
        <v>127</v>
      </c>
      <c r="D210" s="133" t="s">
        <v>128</v>
      </c>
      <c r="E210" s="135"/>
      <c r="F210" s="135"/>
    </row>
    <row r="211" spans="2:6" ht="51" hidden="1" outlineLevel="1">
      <c r="B211" s="135"/>
      <c r="C211" s="134" t="s">
        <v>129</v>
      </c>
      <c r="D211" s="133" t="s">
        <v>130</v>
      </c>
      <c r="E211" s="135"/>
      <c r="F211" s="135"/>
    </row>
    <row r="212" spans="2:6" hidden="1" outlineLevel="1">
      <c r="B212" s="135"/>
      <c r="C212" s="134" t="s">
        <v>131</v>
      </c>
      <c r="D212" s="133" t="s">
        <v>132</v>
      </c>
      <c r="E212" s="135"/>
      <c r="F212" s="135"/>
    </row>
    <row r="213" spans="2:6" hidden="1" outlineLevel="1">
      <c r="B213" s="135"/>
      <c r="C213" s="132" t="s">
        <v>133</v>
      </c>
      <c r="D213" s="133" t="s">
        <v>134</v>
      </c>
      <c r="E213" s="135"/>
      <c r="F213" s="135"/>
    </row>
    <row r="214" spans="2:6" hidden="1" outlineLevel="1">
      <c r="B214" s="135"/>
      <c r="C214" s="132" t="s">
        <v>135</v>
      </c>
      <c r="D214" s="133" t="s">
        <v>136</v>
      </c>
      <c r="E214" s="135"/>
      <c r="F214" s="135"/>
    </row>
    <row r="215" spans="2:6" hidden="1" outlineLevel="1">
      <c r="B215" s="135"/>
      <c r="C215" s="132" t="s">
        <v>137</v>
      </c>
      <c r="D215" s="133" t="s">
        <v>138</v>
      </c>
      <c r="E215" s="135"/>
      <c r="F215" s="135"/>
    </row>
    <row r="216" spans="2:6" hidden="1" outlineLevel="1">
      <c r="B216" s="135"/>
      <c r="C216" s="132" t="s">
        <v>139</v>
      </c>
      <c r="D216" s="133" t="s">
        <v>140</v>
      </c>
      <c r="E216" s="135"/>
      <c r="F216" s="135"/>
    </row>
    <row r="217" spans="2:6" hidden="1" outlineLevel="1">
      <c r="B217" s="135"/>
      <c r="C217" s="134" t="s">
        <v>141</v>
      </c>
      <c r="D217" s="133" t="s">
        <v>142</v>
      </c>
      <c r="E217" s="135"/>
      <c r="F217" s="135"/>
    </row>
    <row r="218" spans="2:6" hidden="1" outlineLevel="1">
      <c r="B218" s="135"/>
      <c r="C218" s="132" t="s">
        <v>143</v>
      </c>
      <c r="D218" s="133" t="s">
        <v>144</v>
      </c>
      <c r="E218" s="135"/>
      <c r="F218" s="135"/>
    </row>
    <row r="219" spans="2:6" hidden="1" outlineLevel="1">
      <c r="B219" s="135"/>
      <c r="C219" s="134" t="s">
        <v>145</v>
      </c>
      <c r="D219" s="133" t="s">
        <v>146</v>
      </c>
      <c r="E219" s="135"/>
      <c r="F219" s="135"/>
    </row>
    <row r="220" spans="2:6" hidden="1" outlineLevel="1">
      <c r="B220" s="135"/>
      <c r="C220" s="134" t="s">
        <v>147</v>
      </c>
      <c r="D220" s="133" t="s">
        <v>148</v>
      </c>
      <c r="E220" s="135"/>
      <c r="F220" s="135"/>
    </row>
    <row r="221" spans="2:6" hidden="1" outlineLevel="1">
      <c r="B221" s="135"/>
      <c r="C221" s="132" t="s">
        <v>149</v>
      </c>
      <c r="D221" s="133" t="s">
        <v>150</v>
      </c>
      <c r="E221" s="135"/>
      <c r="F221" s="135"/>
    </row>
    <row r="222" spans="2:6" hidden="1" outlineLevel="1">
      <c r="B222" s="135"/>
      <c r="C222" s="132" t="s">
        <v>151</v>
      </c>
      <c r="D222" s="133" t="s">
        <v>152</v>
      </c>
      <c r="E222" s="135"/>
      <c r="F222" s="135"/>
    </row>
    <row r="223" spans="2:6" hidden="1" outlineLevel="1">
      <c r="B223" s="135"/>
      <c r="C223" s="132" t="s">
        <v>153</v>
      </c>
      <c r="D223" s="133" t="s">
        <v>154</v>
      </c>
      <c r="E223" s="135"/>
      <c r="F223" s="135"/>
    </row>
    <row r="224" spans="2:6" hidden="1" outlineLevel="1">
      <c r="B224" s="135"/>
      <c r="C224" s="132" t="s">
        <v>155</v>
      </c>
      <c r="D224" s="133" t="s">
        <v>156</v>
      </c>
      <c r="E224" s="135"/>
      <c r="F224" s="135"/>
    </row>
    <row r="225" spans="2:6" hidden="1" outlineLevel="1">
      <c r="B225" s="135"/>
      <c r="C225" s="132" t="s">
        <v>157</v>
      </c>
      <c r="D225" s="133" t="s">
        <v>158</v>
      </c>
      <c r="E225" s="135"/>
      <c r="F225" s="135"/>
    </row>
    <row r="226" spans="2:6" hidden="1" outlineLevel="1">
      <c r="B226" s="135"/>
      <c r="C226" s="132" t="s">
        <v>159</v>
      </c>
      <c r="D226" s="133" t="s">
        <v>160</v>
      </c>
      <c r="E226" s="135"/>
      <c r="F226" s="135"/>
    </row>
    <row r="227" spans="2:6" hidden="1" outlineLevel="1">
      <c r="B227" s="135"/>
      <c r="C227" s="132" t="s">
        <v>161</v>
      </c>
      <c r="D227" s="133" t="s">
        <v>162</v>
      </c>
      <c r="E227" s="135"/>
      <c r="F227" s="135"/>
    </row>
    <row r="228" spans="2:6" hidden="1" outlineLevel="1">
      <c r="B228" s="135"/>
      <c r="C228" s="132" t="s">
        <v>163</v>
      </c>
      <c r="D228" s="133" t="s">
        <v>164</v>
      </c>
      <c r="E228" s="135"/>
      <c r="F228" s="135"/>
    </row>
    <row r="229" spans="2:6" hidden="1" outlineLevel="1">
      <c r="B229" s="135"/>
      <c r="C229" s="132" t="s">
        <v>165</v>
      </c>
      <c r="D229" s="133" t="s">
        <v>166</v>
      </c>
      <c r="E229" s="135"/>
      <c r="F229" s="135"/>
    </row>
    <row r="230" spans="2:6" hidden="1" outlineLevel="1">
      <c r="B230" s="135"/>
      <c r="C230" s="132" t="s">
        <v>167</v>
      </c>
      <c r="D230" s="133" t="s">
        <v>168</v>
      </c>
      <c r="E230" s="135"/>
      <c r="F230" s="135"/>
    </row>
    <row r="231" spans="2:6" ht="25.5" hidden="1" outlineLevel="1">
      <c r="B231" s="135"/>
      <c r="C231" s="132" t="s">
        <v>169</v>
      </c>
      <c r="D231" s="133" t="s">
        <v>170</v>
      </c>
      <c r="E231" s="135"/>
      <c r="F231" s="135"/>
    </row>
    <row r="232" spans="2:6" ht="25.5" hidden="1" outlineLevel="1">
      <c r="B232" s="135"/>
      <c r="C232" s="132" t="s">
        <v>171</v>
      </c>
      <c r="D232" s="133" t="s">
        <v>172</v>
      </c>
      <c r="E232" s="135"/>
      <c r="F232" s="135"/>
    </row>
    <row r="233" spans="2:6" hidden="1" outlineLevel="1">
      <c r="B233" s="135"/>
      <c r="C233" s="134" t="s">
        <v>173</v>
      </c>
      <c r="D233" s="133" t="s">
        <v>174</v>
      </c>
      <c r="E233" s="135"/>
      <c r="F233" s="135"/>
    </row>
    <row r="234" spans="2:6" ht="25.5" hidden="1" outlineLevel="1">
      <c r="B234" s="135"/>
      <c r="C234" s="132" t="s">
        <v>175</v>
      </c>
      <c r="D234" s="133" t="s">
        <v>176</v>
      </c>
      <c r="E234" s="135"/>
      <c r="F234" s="135"/>
    </row>
    <row r="235" spans="2:6" ht="25.5" hidden="1" outlineLevel="1">
      <c r="B235" s="135"/>
      <c r="C235" s="132" t="s">
        <v>177</v>
      </c>
      <c r="D235" s="133" t="s">
        <v>178</v>
      </c>
      <c r="E235" s="135"/>
      <c r="F235" s="135"/>
    </row>
    <row r="236" spans="2:6" ht="25.5" hidden="1" outlineLevel="1">
      <c r="B236" s="135"/>
      <c r="C236" s="132" t="s">
        <v>179</v>
      </c>
      <c r="D236" s="133" t="s">
        <v>180</v>
      </c>
      <c r="E236" s="135"/>
      <c r="F236" s="135"/>
    </row>
    <row r="237" spans="2:6" ht="25.5" hidden="1" outlineLevel="1">
      <c r="B237" s="135"/>
      <c r="C237" s="132" t="s">
        <v>181</v>
      </c>
      <c r="D237" s="133" t="s">
        <v>182</v>
      </c>
      <c r="E237" s="135"/>
      <c r="F237" s="135"/>
    </row>
    <row r="238" spans="2:6" hidden="1" outlineLevel="1">
      <c r="B238" s="135"/>
      <c r="C238" s="132" t="s">
        <v>183</v>
      </c>
      <c r="D238" s="133" t="s">
        <v>184</v>
      </c>
      <c r="E238" s="135"/>
      <c r="F238" s="135"/>
    </row>
    <row r="239" spans="2:6" hidden="1" outlineLevel="1">
      <c r="B239" s="135"/>
      <c r="C239" s="132" t="s">
        <v>185</v>
      </c>
      <c r="D239" s="133" t="s">
        <v>186</v>
      </c>
      <c r="E239" s="135"/>
      <c r="F239" s="135"/>
    </row>
    <row r="240" spans="2:6" ht="15" hidden="1" outlineLevel="1" thickBot="1">
      <c r="B240" s="135"/>
      <c r="C240" s="136" t="s">
        <v>187</v>
      </c>
      <c r="D240" s="137" t="s">
        <v>188</v>
      </c>
      <c r="E240" s="135"/>
      <c r="F240" s="135"/>
    </row>
    <row r="241" spans="2:6" hidden="1" outlineLevel="1">
      <c r="B241" s="135"/>
      <c r="C241" s="135"/>
      <c r="D241" s="135"/>
      <c r="E241" s="135"/>
      <c r="F241" s="135"/>
    </row>
    <row r="242" spans="2:6" hidden="1" outlineLevel="1">
      <c r="B242" s="135"/>
      <c r="C242" s="135"/>
      <c r="D242" s="135"/>
      <c r="E242" s="135"/>
      <c r="F242" s="135"/>
    </row>
    <row r="243" spans="2:6" hidden="1" outlineLevel="1">
      <c r="B243" s="135"/>
      <c r="C243" s="135"/>
      <c r="D243" s="135"/>
      <c r="E243" s="135"/>
      <c r="F243" s="135"/>
    </row>
    <row r="244" spans="2:6" collapsed="1"/>
  </sheetData>
  <mergeCells count="3">
    <mergeCell ref="H67:J67"/>
    <mergeCell ref="D10:H10"/>
    <mergeCell ref="D14:J15"/>
  </mergeCells>
  <phoneticPr fontId="1"/>
  <dataValidations count="2">
    <dataValidation type="list" allowBlank="1" showInputMessage="1" showErrorMessage="1" sqref="F27">
      <formula1>$D$182:$E$182</formula1>
    </dataValidation>
    <dataValidation type="list" allowBlank="1" showInputMessage="1" showErrorMessage="1" sqref="D10:H10">
      <formula1>$C$204:$C$239</formula1>
    </dataValidation>
  </dataValidations>
  <hyperlinks>
    <hyperlink ref="C205" r:id="rId1"/>
    <hyperlink ref="C206" r:id="rId2"/>
    <hyperlink ref="C212" r:id="rId3"/>
    <hyperlink ref="C233" display="file://"/>
  </hyperlinks>
  <pageMargins left="0.7" right="0.7" top="0.75" bottom="0.75" header="0.3" footer="0.3"/>
  <pageSetup paperSize="9" orientation="portrait" horizontalDpi="300" verticalDpi="300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567"/>
  <sheetViews>
    <sheetView showGridLines="0" tabSelected="1" zoomScaleNormal="100" workbookViewId="0">
      <selection activeCell="S14" sqref="S14"/>
    </sheetView>
  </sheetViews>
  <sheetFormatPr defaultColWidth="9" defaultRowHeight="14.25" outlineLevelRow="1"/>
  <cols>
    <col min="1" max="12" width="9" style="42"/>
    <col min="13" max="13" width="8.85546875" style="42" customWidth="1"/>
    <col min="14" max="16384" width="9" style="42"/>
  </cols>
  <sheetData>
    <row r="1" spans="1:15">
      <c r="A1" s="42" t="s">
        <v>195</v>
      </c>
    </row>
    <row r="2" spans="1:15" ht="15" thickBot="1"/>
    <row r="3" spans="1:15" s="187" customFormat="1" ht="18">
      <c r="B3" s="107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97"/>
      <c r="O3" s="98"/>
    </row>
    <row r="4" spans="1:15" s="187" customFormat="1" ht="18">
      <c r="B4" s="110"/>
      <c r="C4" s="215" t="s">
        <v>774</v>
      </c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01"/>
      <c r="O4" s="102"/>
    </row>
    <row r="5" spans="1:15" s="187" customFormat="1" ht="18">
      <c r="B5" s="110"/>
      <c r="C5" s="123" t="s">
        <v>777</v>
      </c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01"/>
      <c r="O5" s="102"/>
    </row>
    <row r="6" spans="1:15" s="216" customFormat="1" ht="18">
      <c r="B6" s="110"/>
      <c r="C6" s="249" t="s">
        <v>815</v>
      </c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01"/>
      <c r="O6" s="102"/>
    </row>
    <row r="7" spans="1:15" s="187" customFormat="1" ht="18">
      <c r="B7" s="110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01"/>
      <c r="O7" s="102"/>
    </row>
    <row r="8" spans="1:15" s="187" customFormat="1" ht="18">
      <c r="B8" s="110"/>
      <c r="C8" s="111" t="s">
        <v>780</v>
      </c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01"/>
      <c r="O8" s="102"/>
    </row>
    <row r="9" spans="1:15" s="187" customFormat="1" ht="18.75" thickBot="1">
      <c r="B9" s="110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01"/>
      <c r="O9" s="102"/>
    </row>
    <row r="10" spans="1:15" s="187" customFormat="1" ht="18.75" thickBot="1">
      <c r="B10" s="110"/>
      <c r="C10" s="188" t="s">
        <v>117</v>
      </c>
      <c r="D10" s="189" t="s">
        <v>197</v>
      </c>
      <c r="E10" s="188" t="s">
        <v>559</v>
      </c>
      <c r="F10" s="189" t="s">
        <v>196</v>
      </c>
      <c r="G10" s="188" t="s">
        <v>560</v>
      </c>
      <c r="H10" s="189" t="s">
        <v>197</v>
      </c>
      <c r="I10" s="188" t="s">
        <v>561</v>
      </c>
      <c r="J10" s="189" t="s">
        <v>197</v>
      </c>
      <c r="K10" s="188" t="s">
        <v>562</v>
      </c>
      <c r="L10" s="189" t="s">
        <v>197</v>
      </c>
      <c r="M10" s="188" t="s">
        <v>626</v>
      </c>
      <c r="N10" s="101"/>
      <c r="O10" s="102"/>
    </row>
    <row r="11" spans="1:15" s="187" customFormat="1" ht="18">
      <c r="B11" s="110"/>
      <c r="C11" s="111"/>
      <c r="D11" s="189"/>
      <c r="E11" s="111"/>
      <c r="F11" s="189"/>
      <c r="G11" s="111"/>
      <c r="H11" s="189"/>
      <c r="I11" s="111"/>
      <c r="J11" s="189"/>
      <c r="K11" s="111"/>
      <c r="L11" s="189"/>
      <c r="M11" s="111"/>
      <c r="N11" s="101"/>
      <c r="O11" s="102"/>
    </row>
    <row r="12" spans="1:15" s="216" customFormat="1" ht="18">
      <c r="B12" s="110"/>
      <c r="C12" s="111"/>
      <c r="D12" s="211" t="s">
        <v>778</v>
      </c>
      <c r="E12" s="111"/>
      <c r="F12" s="189"/>
      <c r="G12" s="111"/>
      <c r="H12" s="189"/>
      <c r="I12" s="111"/>
      <c r="J12" s="189"/>
      <c r="K12" s="111"/>
      <c r="L12" s="189"/>
      <c r="M12" s="111"/>
      <c r="N12" s="101"/>
      <c r="O12" s="102"/>
    </row>
    <row r="13" spans="1:15" s="187" customFormat="1" ht="18">
      <c r="B13" s="110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01"/>
      <c r="O13" s="102"/>
    </row>
    <row r="14" spans="1:15" s="187" customFormat="1" ht="18">
      <c r="B14" s="110"/>
      <c r="C14" s="111" t="s">
        <v>779</v>
      </c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01"/>
      <c r="O14" s="102"/>
    </row>
    <row r="15" spans="1:15" s="187" customFormat="1" ht="18.75" thickBot="1">
      <c r="B15" s="110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01"/>
      <c r="O15" s="102"/>
    </row>
    <row r="16" spans="1:15" s="187" customFormat="1" ht="18.75" thickBot="1">
      <c r="B16" s="110"/>
      <c r="C16" s="111"/>
      <c r="D16" s="111" t="s">
        <v>786</v>
      </c>
      <c r="E16" s="111"/>
      <c r="F16" s="111"/>
      <c r="G16" s="111"/>
      <c r="H16" s="111"/>
      <c r="I16" s="111"/>
      <c r="J16" s="111"/>
      <c r="K16" s="111"/>
      <c r="L16" s="111"/>
      <c r="M16" s="188" t="s">
        <v>623</v>
      </c>
      <c r="N16" s="101"/>
      <c r="O16" s="102"/>
    </row>
    <row r="17" spans="2:15" s="187" customFormat="1" ht="18">
      <c r="B17" s="110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01"/>
      <c r="O17" s="102"/>
    </row>
    <row r="18" spans="2:15" s="187" customFormat="1" ht="18.75" thickBot="1">
      <c r="B18" s="110"/>
      <c r="C18" s="111"/>
      <c r="D18" s="111" t="s">
        <v>785</v>
      </c>
      <c r="E18" s="111"/>
      <c r="F18" s="111"/>
      <c r="G18" s="111"/>
      <c r="H18" s="111"/>
      <c r="I18" s="111"/>
      <c r="J18" s="111"/>
      <c r="K18" s="111"/>
      <c r="L18" s="111"/>
      <c r="M18" s="111"/>
      <c r="N18" s="101"/>
      <c r="O18" s="102"/>
    </row>
    <row r="19" spans="2:15" s="187" customFormat="1" ht="18.75" thickBot="1">
      <c r="B19" s="110"/>
      <c r="C19" s="111"/>
      <c r="D19" s="228" t="s">
        <v>807</v>
      </c>
      <c r="E19" s="229"/>
      <c r="F19" s="229"/>
      <c r="G19" s="229"/>
      <c r="H19" s="230"/>
      <c r="I19" s="111"/>
      <c r="J19" s="111"/>
      <c r="K19" s="111"/>
      <c r="L19" s="111"/>
      <c r="M19" s="111"/>
      <c r="N19" s="101"/>
      <c r="O19" s="102"/>
    </row>
    <row r="20" spans="2:15" s="187" customFormat="1" ht="18">
      <c r="B20" s="110"/>
      <c r="C20" s="111"/>
      <c r="D20" s="115"/>
      <c r="E20" s="115"/>
      <c r="F20" s="115"/>
      <c r="G20" s="115"/>
      <c r="H20" s="115"/>
      <c r="I20" s="111"/>
      <c r="J20" s="111"/>
      <c r="K20" s="111"/>
      <c r="L20" s="111"/>
      <c r="M20" s="111"/>
      <c r="N20" s="101"/>
      <c r="O20" s="102"/>
    </row>
    <row r="21" spans="2:15" s="216" customFormat="1" ht="18">
      <c r="B21" s="110"/>
      <c r="C21" s="111"/>
      <c r="D21" s="211" t="s">
        <v>781</v>
      </c>
      <c r="E21" s="115"/>
      <c r="F21" s="115"/>
      <c r="G21" s="115"/>
      <c r="H21" s="115"/>
      <c r="I21" s="111"/>
      <c r="J21" s="111"/>
      <c r="K21" s="111"/>
      <c r="L21" s="111"/>
      <c r="M21" s="111"/>
      <c r="N21" s="101"/>
      <c r="O21" s="102"/>
    </row>
    <row r="22" spans="2:15" s="187" customFormat="1" ht="18">
      <c r="B22" s="110"/>
      <c r="C22" s="111"/>
      <c r="D22" s="123" t="s">
        <v>782</v>
      </c>
      <c r="E22" s="115"/>
      <c r="F22" s="115"/>
      <c r="G22" s="115"/>
      <c r="H22" s="115"/>
      <c r="I22" s="111"/>
      <c r="J22" s="111"/>
      <c r="K22" s="111"/>
      <c r="L22" s="111"/>
      <c r="M22" s="111"/>
      <c r="N22" s="101"/>
      <c r="O22" s="102"/>
    </row>
    <row r="23" spans="2:15" s="187" customFormat="1" ht="18">
      <c r="B23" s="110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01"/>
      <c r="O23" s="102"/>
    </row>
    <row r="24" spans="2:15" s="187" customFormat="1" ht="18">
      <c r="B24" s="110"/>
      <c r="C24" s="111" t="s">
        <v>783</v>
      </c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01"/>
      <c r="O24" s="102"/>
    </row>
    <row r="25" spans="2:15" s="187" customFormat="1" ht="18.75" thickBot="1">
      <c r="B25" s="110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01"/>
      <c r="O25" s="102"/>
    </row>
    <row r="26" spans="2:15" s="187" customFormat="1" ht="18.75" thickBot="1">
      <c r="B26" s="110"/>
      <c r="C26" s="111"/>
      <c r="D26" s="111" t="s">
        <v>804</v>
      </c>
      <c r="E26" s="111"/>
      <c r="F26" s="111"/>
      <c r="G26" s="111"/>
      <c r="H26" s="111"/>
      <c r="I26" s="111"/>
      <c r="J26" s="111"/>
      <c r="K26" s="111"/>
      <c r="L26" s="111"/>
      <c r="M26" s="188" t="s">
        <v>623</v>
      </c>
      <c r="N26" s="101"/>
      <c r="O26" s="102"/>
    </row>
    <row r="27" spans="2:15" s="187" customFormat="1" ht="18">
      <c r="B27" s="110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01"/>
      <c r="O27" s="102"/>
    </row>
    <row r="28" spans="2:15" s="187" customFormat="1" ht="18">
      <c r="B28" s="110"/>
      <c r="C28" s="111"/>
      <c r="D28" s="111" t="s">
        <v>787</v>
      </c>
      <c r="E28" s="111"/>
      <c r="F28" s="111"/>
      <c r="G28" s="111"/>
      <c r="H28" s="111"/>
      <c r="I28" s="111"/>
      <c r="J28" s="111"/>
      <c r="K28" s="111"/>
      <c r="L28" s="111"/>
      <c r="M28" s="111"/>
      <c r="N28" s="101"/>
      <c r="O28" s="102"/>
    </row>
    <row r="29" spans="2:15" s="216" customFormat="1" ht="18">
      <c r="B29" s="110"/>
      <c r="C29" s="111"/>
      <c r="D29" s="111" t="s">
        <v>788</v>
      </c>
      <c r="E29" s="111"/>
      <c r="F29" s="111"/>
      <c r="G29" s="111"/>
      <c r="H29" s="111"/>
      <c r="I29" s="111"/>
      <c r="J29" s="111"/>
      <c r="K29" s="111"/>
      <c r="L29" s="111"/>
      <c r="M29" s="111"/>
      <c r="N29" s="101"/>
      <c r="O29" s="102"/>
    </row>
    <row r="30" spans="2:15" s="216" customFormat="1" ht="18.75" thickBot="1">
      <c r="B30" s="110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01"/>
      <c r="O30" s="102"/>
    </row>
    <row r="31" spans="2:15" s="187" customFormat="1" ht="18.75" thickBot="1">
      <c r="B31" s="110"/>
      <c r="C31" s="111"/>
      <c r="D31" s="111" t="s">
        <v>198</v>
      </c>
      <c r="E31" s="111"/>
      <c r="F31" s="111"/>
      <c r="G31" s="228" t="s">
        <v>686</v>
      </c>
      <c r="H31" s="229"/>
      <c r="I31" s="230"/>
      <c r="J31" s="111"/>
      <c r="K31" s="190" t="str">
        <f>VLOOKUP(G31, C355:D363,2,FALSE)</f>
        <v>0x20</v>
      </c>
      <c r="L31" s="101"/>
      <c r="M31" s="101"/>
      <c r="N31" s="101"/>
      <c r="O31" s="102"/>
    </row>
    <row r="32" spans="2:15" s="187" customFormat="1" ht="18">
      <c r="B32" s="110"/>
      <c r="C32" s="111"/>
      <c r="D32" s="111"/>
      <c r="E32" s="111"/>
      <c r="F32" s="111"/>
      <c r="G32" s="191" t="str">
        <f>"( "&amp;VLOOKUP(G31, C355:E363,3,FALSE)&amp;" )"</f>
        <v>( Speaker, Microphone, Headset service, ... )</v>
      </c>
      <c r="H32" s="101"/>
      <c r="I32" s="192"/>
      <c r="J32" s="101"/>
      <c r="K32" s="115"/>
      <c r="L32" s="111"/>
      <c r="M32" s="111"/>
      <c r="N32" s="101"/>
      <c r="O32" s="102"/>
    </row>
    <row r="33" spans="2:15" s="187" customFormat="1" ht="18.75" thickBot="1">
      <c r="B33" s="110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01"/>
      <c r="O33" s="102"/>
    </row>
    <row r="34" spans="2:15" s="187" customFormat="1" ht="18.75" thickBot="1">
      <c r="B34" s="110"/>
      <c r="C34" s="111"/>
      <c r="D34" s="111" t="s">
        <v>199</v>
      </c>
      <c r="E34" s="111"/>
      <c r="F34" s="111"/>
      <c r="G34" s="228" t="s">
        <v>687</v>
      </c>
      <c r="H34" s="229"/>
      <c r="I34" s="230"/>
      <c r="J34" s="111"/>
      <c r="K34" s="190" t="str">
        <f>VLOOKUP(G34,C368:D375,2,FALSE)</f>
        <v>0x04</v>
      </c>
      <c r="L34" s="111"/>
      <c r="M34" s="111"/>
      <c r="N34" s="101"/>
      <c r="O34" s="102"/>
    </row>
    <row r="35" spans="2:15" s="187" customFormat="1" ht="18">
      <c r="B35" s="110"/>
      <c r="C35" s="111"/>
      <c r="D35" s="111"/>
      <c r="E35" s="111"/>
      <c r="F35" s="111"/>
      <c r="G35" s="191" t="str">
        <f>"( "&amp;VLOOKUP(G34, C368:G375,5,FALSE)&amp;" )"</f>
        <v>( headset, speaker, stereo, video display, vcr, ... )</v>
      </c>
      <c r="H35" s="191"/>
      <c r="I35" s="191"/>
      <c r="J35" s="111"/>
      <c r="K35" s="115"/>
      <c r="L35" s="111"/>
      <c r="M35" s="111"/>
      <c r="N35" s="101"/>
      <c r="O35" s="102"/>
    </row>
    <row r="36" spans="2:15" s="187" customFormat="1" ht="18.75" thickBot="1">
      <c r="B36" s="110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01"/>
      <c r="O36" s="102"/>
    </row>
    <row r="37" spans="2:15" s="187" customFormat="1" ht="18.75" thickBot="1">
      <c r="B37" s="110"/>
      <c r="C37" s="111"/>
      <c r="D37" s="111" t="s">
        <v>200</v>
      </c>
      <c r="E37" s="111"/>
      <c r="F37" s="111"/>
      <c r="G37" s="228" t="s">
        <v>410</v>
      </c>
      <c r="H37" s="229"/>
      <c r="I37" s="230"/>
      <c r="J37" s="111"/>
      <c r="K37" s="115" t="str">
        <f>M387</f>
        <v>0x04</v>
      </c>
      <c r="L37" s="111"/>
      <c r="M37" s="111"/>
      <c r="N37" s="101"/>
      <c r="O37" s="102"/>
    </row>
    <row r="38" spans="2:15" s="187" customFormat="1" ht="18.75" thickBot="1">
      <c r="B38" s="110"/>
      <c r="C38" s="111"/>
      <c r="D38" s="111"/>
      <c r="E38" s="111"/>
      <c r="F38" s="111"/>
      <c r="G38" s="115"/>
      <c r="H38" s="115"/>
      <c r="I38" s="115"/>
      <c r="J38" s="111"/>
      <c r="K38" s="193"/>
      <c r="L38" s="111"/>
      <c r="M38" s="111"/>
      <c r="N38" s="101"/>
      <c r="O38" s="102"/>
    </row>
    <row r="39" spans="2:15" s="187" customFormat="1" ht="18.75" thickBot="1">
      <c r="B39" s="110"/>
      <c r="C39" s="111"/>
      <c r="D39" s="111"/>
      <c r="E39" s="111" t="s">
        <v>565</v>
      </c>
      <c r="F39" s="111"/>
      <c r="G39" s="228" t="s">
        <v>621</v>
      </c>
      <c r="H39" s="229"/>
      <c r="I39" s="230"/>
      <c r="J39" s="111"/>
      <c r="K39" s="190" t="str">
        <f>M396</f>
        <v>0x00</v>
      </c>
      <c r="L39" s="111"/>
      <c r="M39" s="115" t="str">
        <f>"0x"&amp;DEC2HEX(HEX2DEC(MID(K37,3,2))+HEX2DEC(MID(K39,3,2)),2)</f>
        <v>0x04</v>
      </c>
      <c r="N39" s="101"/>
      <c r="O39" s="102"/>
    </row>
    <row r="40" spans="2:15" s="187" customFormat="1" ht="18">
      <c r="B40" s="110"/>
      <c r="C40" s="111"/>
      <c r="D40" s="111"/>
      <c r="E40" s="111"/>
      <c r="F40" s="111"/>
      <c r="G40" s="115"/>
      <c r="H40" s="115"/>
      <c r="I40" s="115"/>
      <c r="J40" s="111"/>
      <c r="K40" s="111"/>
      <c r="L40" s="111"/>
      <c r="M40" s="193"/>
      <c r="N40" s="101"/>
      <c r="O40" s="102"/>
    </row>
    <row r="41" spans="2:15" s="216" customFormat="1" ht="18">
      <c r="B41" s="110"/>
      <c r="C41" s="111"/>
      <c r="D41" s="111"/>
      <c r="E41" s="123" t="s">
        <v>789</v>
      </c>
      <c r="F41" s="111"/>
      <c r="G41" s="115"/>
      <c r="H41" s="115"/>
      <c r="I41" s="115"/>
      <c r="J41" s="111"/>
      <c r="K41" s="111"/>
      <c r="L41" s="111"/>
      <c r="M41" s="111"/>
      <c r="N41" s="101"/>
      <c r="O41" s="102"/>
    </row>
    <row r="42" spans="2:15" s="187" customFormat="1" ht="18">
      <c r="B42" s="110"/>
      <c r="C42" s="111"/>
      <c r="D42" s="111"/>
      <c r="E42" s="123" t="s">
        <v>790</v>
      </c>
      <c r="F42" s="111"/>
      <c r="G42" s="115"/>
      <c r="H42" s="115"/>
      <c r="I42" s="115"/>
      <c r="J42" s="111"/>
      <c r="K42" s="111"/>
      <c r="L42" s="111"/>
      <c r="M42" s="111"/>
      <c r="N42" s="101"/>
      <c r="O42" s="102"/>
    </row>
    <row r="43" spans="2:15" s="187" customFormat="1" ht="18">
      <c r="B43" s="110"/>
      <c r="C43" s="111"/>
      <c r="D43" s="111"/>
      <c r="E43" s="111"/>
      <c r="F43" s="111"/>
      <c r="G43" s="115"/>
      <c r="H43" s="115"/>
      <c r="I43" s="115"/>
      <c r="J43" s="111"/>
      <c r="K43" s="111"/>
      <c r="L43" s="111"/>
      <c r="M43" s="111"/>
      <c r="N43" s="101"/>
      <c r="O43" s="102"/>
    </row>
    <row r="44" spans="2:15" s="187" customFormat="1" ht="18">
      <c r="B44" s="110"/>
      <c r="C44" s="111" t="s">
        <v>791</v>
      </c>
      <c r="D44" s="111"/>
      <c r="E44" s="111"/>
      <c r="F44" s="111"/>
      <c r="G44" s="115"/>
      <c r="H44" s="115"/>
      <c r="I44" s="115"/>
      <c r="J44" s="111"/>
      <c r="K44" s="111"/>
      <c r="L44" s="111"/>
      <c r="M44" s="111"/>
      <c r="N44" s="101"/>
      <c r="O44" s="102"/>
    </row>
    <row r="45" spans="2:15" s="187" customFormat="1" ht="18.75" thickBot="1">
      <c r="B45" s="110"/>
      <c r="C45" s="111"/>
      <c r="D45" s="111"/>
      <c r="E45" s="111"/>
      <c r="F45" s="111"/>
      <c r="G45" s="115"/>
      <c r="H45" s="115"/>
      <c r="I45" s="115"/>
      <c r="J45" s="111"/>
      <c r="K45" s="111"/>
      <c r="L45" s="111"/>
      <c r="M45" s="111"/>
      <c r="N45" s="101"/>
      <c r="O45" s="102"/>
    </row>
    <row r="46" spans="2:15" s="187" customFormat="1" ht="18.75" thickBot="1">
      <c r="B46" s="110"/>
      <c r="C46" s="111"/>
      <c r="D46" s="111" t="s">
        <v>792</v>
      </c>
      <c r="E46" s="111"/>
      <c r="F46" s="111"/>
      <c r="G46" s="115"/>
      <c r="H46" s="115"/>
      <c r="I46" s="115"/>
      <c r="J46" s="111"/>
      <c r="K46" s="111"/>
      <c r="L46" s="111"/>
      <c r="M46" s="188">
        <v>2</v>
      </c>
      <c r="N46" s="101"/>
      <c r="O46" s="102"/>
    </row>
    <row r="47" spans="2:15" s="187" customFormat="1" ht="18">
      <c r="B47" s="110"/>
      <c r="C47" s="111"/>
      <c r="D47" s="111"/>
      <c r="E47" s="111"/>
      <c r="F47" s="111"/>
      <c r="G47" s="115"/>
      <c r="H47" s="115"/>
      <c r="I47" s="115"/>
      <c r="J47" s="111"/>
      <c r="K47" s="111"/>
      <c r="L47" s="111"/>
      <c r="M47" s="111"/>
      <c r="N47" s="101"/>
      <c r="O47" s="102"/>
    </row>
    <row r="48" spans="2:15" s="187" customFormat="1" ht="18.75" thickBot="1">
      <c r="B48" s="110"/>
      <c r="C48" s="111"/>
      <c r="D48" s="111" t="s">
        <v>794</v>
      </c>
      <c r="E48" s="111"/>
      <c r="F48" s="111"/>
      <c r="G48" s="115"/>
      <c r="H48" s="115"/>
      <c r="I48" s="115"/>
      <c r="J48" s="111"/>
      <c r="K48" s="111"/>
      <c r="L48" s="111"/>
      <c r="M48" s="111"/>
      <c r="N48" s="101"/>
      <c r="O48" s="102"/>
    </row>
    <row r="49" spans="2:15" s="187" customFormat="1" ht="18.75" thickBot="1">
      <c r="B49" s="110"/>
      <c r="C49" s="111"/>
      <c r="D49" s="111"/>
      <c r="E49" s="111" t="s">
        <v>563</v>
      </c>
      <c r="F49" s="111"/>
      <c r="G49" s="228" t="s">
        <v>466</v>
      </c>
      <c r="H49" s="229"/>
      <c r="I49" s="230"/>
      <c r="J49" s="111"/>
      <c r="K49" s="247" t="str">
        <f>VLOOKUP(G49,D470:E538,2,FALSE)</f>
        <v>0x111E</v>
      </c>
      <c r="L49" s="247"/>
      <c r="M49" s="111"/>
      <c r="N49" s="101"/>
      <c r="O49" s="102"/>
    </row>
    <row r="50" spans="2:15" s="187" customFormat="1" ht="18">
      <c r="B50" s="110"/>
      <c r="C50" s="111"/>
      <c r="D50" s="111"/>
      <c r="E50" s="111"/>
      <c r="F50" s="111"/>
      <c r="G50" s="211" t="str">
        <f>"( "&amp;VLOOKUP(G49, D470:F538,3,FALSE)&amp;" )"</f>
        <v>( Basic Imaging Profile (BIP) )</v>
      </c>
      <c r="H50" s="115"/>
      <c r="I50" s="115"/>
      <c r="J50" s="111"/>
      <c r="K50" s="194"/>
      <c r="L50" s="194"/>
      <c r="M50" s="111"/>
      <c r="N50" s="101"/>
      <c r="O50" s="102"/>
    </row>
    <row r="51" spans="2:15" s="187" customFormat="1" ht="18">
      <c r="B51" s="110"/>
      <c r="C51" s="111"/>
      <c r="D51" s="111"/>
      <c r="E51" s="111"/>
      <c r="F51" s="111"/>
      <c r="G51" s="191"/>
      <c r="H51" s="115"/>
      <c r="I51" s="115"/>
      <c r="J51" s="111"/>
      <c r="K51" s="115"/>
      <c r="L51" s="115"/>
      <c r="M51" s="111"/>
      <c r="N51" s="101"/>
      <c r="O51" s="102"/>
    </row>
    <row r="52" spans="2:15" s="187" customFormat="1" ht="18.75" thickBot="1">
      <c r="B52" s="110"/>
      <c r="C52" s="111"/>
      <c r="D52" s="111" t="s">
        <v>793</v>
      </c>
      <c r="E52" s="111"/>
      <c r="F52" s="111"/>
      <c r="G52" s="115"/>
      <c r="H52" s="115"/>
      <c r="I52" s="115"/>
      <c r="J52" s="111"/>
      <c r="K52" s="111"/>
      <c r="L52" s="111"/>
      <c r="M52" s="111"/>
      <c r="N52" s="101"/>
      <c r="O52" s="102"/>
    </row>
    <row r="53" spans="2:15" s="187" customFormat="1" ht="18.75" thickBot="1">
      <c r="B53" s="110"/>
      <c r="C53" s="111"/>
      <c r="D53" s="111"/>
      <c r="E53" s="111" t="s">
        <v>564</v>
      </c>
      <c r="F53" s="111"/>
      <c r="G53" s="228" t="s">
        <v>419</v>
      </c>
      <c r="H53" s="229"/>
      <c r="I53" s="230"/>
      <c r="J53" s="111"/>
      <c r="K53" s="240" t="str">
        <f>VLOOKUP(G53,D470:E538,2,FALSE)</f>
        <v>0x110B</v>
      </c>
      <c r="L53" s="240"/>
      <c r="M53" s="111"/>
      <c r="N53" s="101"/>
      <c r="O53" s="102"/>
    </row>
    <row r="54" spans="2:15" s="187" customFormat="1" ht="18">
      <c r="B54" s="110"/>
      <c r="C54" s="111"/>
      <c r="D54" s="111"/>
      <c r="E54" s="111"/>
      <c r="F54" s="111"/>
      <c r="G54" s="211" t="str">
        <f>"( "&amp;VLOOKUP(G53, D470:F538,3,FALSE)&amp;" )"</f>
        <v>( Advanced Audio Distribution Profile (A2DP) )</v>
      </c>
      <c r="H54" s="115"/>
      <c r="I54" s="115"/>
      <c r="J54" s="111"/>
      <c r="K54" s="111"/>
      <c r="L54" s="111"/>
      <c r="M54" s="111"/>
      <c r="N54" s="101"/>
      <c r="O54" s="102"/>
    </row>
    <row r="55" spans="2:15" s="187" customFormat="1" ht="18">
      <c r="B55" s="110"/>
      <c r="C55" s="111"/>
      <c r="D55" s="111"/>
      <c r="E55" s="111"/>
      <c r="F55" s="111"/>
      <c r="G55" s="191"/>
      <c r="H55" s="115"/>
      <c r="I55" s="115"/>
      <c r="J55" s="111"/>
      <c r="K55" s="111"/>
      <c r="L55" s="111"/>
      <c r="M55" s="111"/>
      <c r="N55" s="101"/>
      <c r="O55" s="102"/>
    </row>
    <row r="56" spans="2:15" s="187" customFormat="1" ht="18.75" thickBot="1">
      <c r="B56" s="110"/>
      <c r="C56" s="111"/>
      <c r="D56" s="111" t="s">
        <v>795</v>
      </c>
      <c r="E56" s="111"/>
      <c r="F56" s="111"/>
      <c r="G56" s="191"/>
      <c r="H56" s="115"/>
      <c r="I56" s="115"/>
      <c r="J56" s="111"/>
      <c r="K56" s="111"/>
      <c r="L56" s="111"/>
      <c r="M56" s="111"/>
      <c r="N56" s="101"/>
      <c r="O56" s="102"/>
    </row>
    <row r="57" spans="2:15" s="187" customFormat="1" ht="18.75" thickBot="1">
      <c r="B57" s="110"/>
      <c r="C57" s="111"/>
      <c r="D57" s="111"/>
      <c r="E57" s="111" t="s">
        <v>652</v>
      </c>
      <c r="F57" s="111"/>
      <c r="G57" s="228" t="s">
        <v>621</v>
      </c>
      <c r="H57" s="229"/>
      <c r="I57" s="230"/>
      <c r="J57" s="111"/>
      <c r="K57" s="240" t="str">
        <f>VLOOKUP(G57,D470:E538,2,FALSE)</f>
        <v>0x0000</v>
      </c>
      <c r="L57" s="240"/>
      <c r="M57" s="111"/>
      <c r="N57" s="101"/>
      <c r="O57" s="102"/>
    </row>
    <row r="58" spans="2:15" s="187" customFormat="1" ht="18">
      <c r="B58" s="110"/>
      <c r="C58" s="111"/>
      <c r="D58" s="111"/>
      <c r="E58" s="111"/>
      <c r="F58" s="111"/>
      <c r="G58" s="211" t="str">
        <f>"( "&amp;VLOOKUP(G57, D470:F538,3,FALSE)&amp;" )"</f>
        <v>( - )</v>
      </c>
      <c r="H58" s="115"/>
      <c r="I58" s="115"/>
      <c r="J58" s="111"/>
      <c r="K58" s="111"/>
      <c r="L58" s="111"/>
      <c r="M58" s="111"/>
      <c r="N58" s="101"/>
      <c r="O58" s="102"/>
    </row>
    <row r="59" spans="2:15" s="187" customFormat="1" ht="18">
      <c r="B59" s="110"/>
      <c r="C59" s="111"/>
      <c r="D59" s="111"/>
      <c r="E59" s="111"/>
      <c r="F59" s="111"/>
      <c r="G59" s="191"/>
      <c r="H59" s="115"/>
      <c r="I59" s="115"/>
      <c r="J59" s="111"/>
      <c r="K59" s="111"/>
      <c r="L59" s="111"/>
      <c r="M59" s="111"/>
      <c r="N59" s="101"/>
      <c r="O59" s="102"/>
    </row>
    <row r="60" spans="2:15" s="187" customFormat="1" ht="18">
      <c r="B60" s="110"/>
      <c r="C60" s="111" t="s">
        <v>776</v>
      </c>
      <c r="D60" s="111"/>
      <c r="E60" s="111"/>
      <c r="F60" s="111"/>
      <c r="G60" s="115"/>
      <c r="H60" s="115"/>
      <c r="I60" s="115"/>
      <c r="J60" s="111"/>
      <c r="K60" s="111"/>
      <c r="L60" s="111"/>
      <c r="M60" s="111"/>
      <c r="N60" s="101"/>
      <c r="O60" s="102"/>
    </row>
    <row r="61" spans="2:15" s="187" customFormat="1" ht="18">
      <c r="B61" s="110"/>
      <c r="C61" s="111"/>
      <c r="D61" s="111"/>
      <c r="E61" s="111"/>
      <c r="F61" s="111"/>
      <c r="G61" s="115"/>
      <c r="H61" s="115"/>
      <c r="I61" s="115"/>
      <c r="J61" s="111"/>
      <c r="K61" s="111"/>
      <c r="L61" s="111"/>
      <c r="M61" s="111"/>
      <c r="N61" s="101"/>
      <c r="O61" s="102"/>
    </row>
    <row r="62" spans="2:15" s="187" customFormat="1" ht="18.75" thickBot="1">
      <c r="B62" s="110"/>
      <c r="C62" s="111"/>
      <c r="D62" s="111" t="s">
        <v>799</v>
      </c>
      <c r="E62" s="111"/>
      <c r="F62" s="111"/>
      <c r="G62" s="115"/>
      <c r="H62" s="115"/>
      <c r="I62" s="115"/>
      <c r="J62" s="111"/>
      <c r="K62" s="111"/>
      <c r="L62" s="111"/>
      <c r="M62" s="111"/>
      <c r="N62" s="101"/>
      <c r="O62" s="102"/>
    </row>
    <row r="63" spans="2:15" s="187" customFormat="1" ht="18.75" thickBot="1">
      <c r="B63" s="110"/>
      <c r="C63" s="111"/>
      <c r="D63" s="111" t="s">
        <v>605</v>
      </c>
      <c r="E63" s="111"/>
      <c r="F63" s="111"/>
      <c r="G63" s="188" t="s">
        <v>735</v>
      </c>
      <c r="H63" s="115"/>
      <c r="I63" s="115"/>
      <c r="J63" s="111"/>
      <c r="K63" s="111"/>
      <c r="L63" s="111"/>
      <c r="M63" s="111"/>
      <c r="N63" s="101"/>
      <c r="O63" s="102"/>
    </row>
    <row r="64" spans="2:15" s="187" customFormat="1" ht="18.75" thickBot="1">
      <c r="B64" s="110"/>
      <c r="C64" s="111"/>
      <c r="D64" s="111"/>
      <c r="E64" s="111"/>
      <c r="F64" s="111"/>
      <c r="G64" s="115"/>
      <c r="H64" s="115"/>
      <c r="I64" s="115"/>
      <c r="J64" s="111"/>
      <c r="K64" s="111"/>
      <c r="L64" s="111"/>
      <c r="M64" s="111"/>
      <c r="N64" s="101"/>
      <c r="O64" s="102"/>
    </row>
    <row r="65" spans="2:15" s="187" customFormat="1" ht="18.75" thickBot="1">
      <c r="B65" s="110"/>
      <c r="C65" s="111"/>
      <c r="D65" s="111" t="s">
        <v>201</v>
      </c>
      <c r="E65" s="111"/>
      <c r="F65" s="111"/>
      <c r="G65" s="228" t="s">
        <v>734</v>
      </c>
      <c r="H65" s="229"/>
      <c r="I65" s="230"/>
      <c r="J65" s="111"/>
      <c r="K65" s="115" t="str">
        <f>VLOOKUP(G65, D557:E561,2,FALSE)</f>
        <v>0xFF</v>
      </c>
      <c r="L65" s="111"/>
      <c r="M65" s="111"/>
      <c r="N65" s="101"/>
      <c r="O65" s="102"/>
    </row>
    <row r="66" spans="2:15" s="187" customFormat="1" ht="18.75" thickBot="1">
      <c r="B66" s="110"/>
      <c r="C66" s="111"/>
      <c r="D66" s="111"/>
      <c r="E66" s="111"/>
      <c r="F66" s="111"/>
      <c r="G66" s="115"/>
      <c r="H66" s="115"/>
      <c r="I66" s="115"/>
      <c r="J66" s="111"/>
      <c r="K66" s="193"/>
      <c r="L66" s="111"/>
      <c r="M66" s="111"/>
      <c r="N66" s="101"/>
      <c r="O66" s="102"/>
    </row>
    <row r="67" spans="2:15" s="187" customFormat="1" ht="18.75" thickBot="1">
      <c r="B67" s="110"/>
      <c r="C67" s="111"/>
      <c r="D67" s="111" t="s">
        <v>725</v>
      </c>
      <c r="E67" s="111"/>
      <c r="F67" s="111"/>
      <c r="G67" s="188" t="s">
        <v>727</v>
      </c>
      <c r="H67" s="115"/>
      <c r="I67" s="115"/>
      <c r="J67" s="111"/>
      <c r="K67" s="111"/>
      <c r="L67" s="111"/>
      <c r="M67" s="111"/>
      <c r="N67" s="101"/>
      <c r="O67" s="102"/>
    </row>
    <row r="68" spans="2:15" s="187" customFormat="1" ht="18.75" thickBot="1">
      <c r="B68" s="110"/>
      <c r="C68" s="111"/>
      <c r="D68" s="111"/>
      <c r="E68" s="111"/>
      <c r="F68" s="111"/>
      <c r="G68" s="115"/>
      <c r="H68" s="115"/>
      <c r="I68" s="115"/>
      <c r="J68" s="111"/>
      <c r="K68" s="111"/>
      <c r="L68" s="111"/>
      <c r="M68" s="111"/>
      <c r="N68" s="101"/>
      <c r="O68" s="102"/>
    </row>
    <row r="69" spans="2:15" s="187" customFormat="1" ht="18">
      <c r="B69" s="110"/>
      <c r="C69" s="111"/>
      <c r="D69" s="111" t="s">
        <v>726</v>
      </c>
      <c r="E69" s="111"/>
      <c r="F69" s="111"/>
      <c r="G69" s="241"/>
      <c r="H69" s="242"/>
      <c r="I69" s="242"/>
      <c r="J69" s="242"/>
      <c r="K69" s="242"/>
      <c r="L69" s="243"/>
      <c r="M69" s="111"/>
      <c r="N69" s="101"/>
      <c r="O69" s="102"/>
    </row>
    <row r="70" spans="2:15" s="187" customFormat="1" ht="18.75" thickBot="1">
      <c r="B70" s="110"/>
      <c r="C70" s="111"/>
      <c r="D70" s="111"/>
      <c r="E70" s="111"/>
      <c r="F70" s="111"/>
      <c r="G70" s="244"/>
      <c r="H70" s="245"/>
      <c r="I70" s="245"/>
      <c r="J70" s="245"/>
      <c r="K70" s="245"/>
      <c r="L70" s="246"/>
      <c r="M70" s="111"/>
      <c r="N70" s="101"/>
      <c r="O70" s="102"/>
    </row>
    <row r="71" spans="2:15" s="187" customFormat="1" ht="18.75" thickBot="1">
      <c r="B71" s="110"/>
      <c r="C71" s="111"/>
      <c r="D71" s="111"/>
      <c r="E71" s="111"/>
      <c r="F71" s="111"/>
      <c r="G71" s="115"/>
      <c r="H71" s="115"/>
      <c r="I71" s="115"/>
      <c r="J71" s="115"/>
      <c r="K71" s="115"/>
      <c r="L71" s="115"/>
      <c r="M71" s="111"/>
      <c r="N71" s="218"/>
      <c r="O71" s="102"/>
    </row>
    <row r="72" spans="2:15" s="187" customFormat="1" ht="18">
      <c r="B72" s="110"/>
      <c r="C72" s="111"/>
      <c r="D72" s="111" t="s">
        <v>644</v>
      </c>
      <c r="E72" s="111"/>
      <c r="F72" s="111"/>
      <c r="G72" s="195"/>
      <c r="H72" s="196"/>
      <c r="I72" s="196"/>
      <c r="J72" s="196"/>
      <c r="K72" s="196"/>
      <c r="L72" s="196"/>
      <c r="M72" s="197"/>
      <c r="N72" s="198"/>
      <c r="O72" s="102"/>
    </row>
    <row r="73" spans="2:15" s="187" customFormat="1" ht="18">
      <c r="B73" s="110"/>
      <c r="C73" s="111"/>
      <c r="D73" s="111"/>
      <c r="E73" s="111"/>
      <c r="F73" s="111"/>
      <c r="G73" s="199"/>
      <c r="H73" s="200"/>
      <c r="I73" s="200"/>
      <c r="J73" s="200"/>
      <c r="K73" s="200"/>
      <c r="L73" s="200"/>
      <c r="M73" s="201"/>
      <c r="N73" s="202"/>
      <c r="O73" s="102"/>
    </row>
    <row r="74" spans="2:15" s="187" customFormat="1" ht="18">
      <c r="B74" s="110"/>
      <c r="C74" s="111"/>
      <c r="D74" s="111"/>
      <c r="E74" s="111"/>
      <c r="F74" s="111"/>
      <c r="G74" s="199"/>
      <c r="H74" s="200"/>
      <c r="I74" s="200"/>
      <c r="J74" s="200"/>
      <c r="K74" s="200"/>
      <c r="L74" s="200"/>
      <c r="M74" s="201"/>
      <c r="N74" s="202"/>
      <c r="O74" s="102"/>
    </row>
    <row r="75" spans="2:15" s="187" customFormat="1" ht="18.75" thickBot="1">
      <c r="B75" s="110"/>
      <c r="C75" s="111"/>
      <c r="D75" s="111"/>
      <c r="E75" s="111"/>
      <c r="F75" s="111"/>
      <c r="G75" s="203"/>
      <c r="H75" s="204"/>
      <c r="I75" s="204"/>
      <c r="J75" s="204"/>
      <c r="K75" s="204"/>
      <c r="L75" s="204"/>
      <c r="M75" s="205"/>
      <c r="N75" s="206"/>
      <c r="O75" s="102"/>
    </row>
    <row r="76" spans="2:15" s="187" customFormat="1" ht="18">
      <c r="B76" s="110"/>
      <c r="C76" s="111"/>
      <c r="D76" s="111"/>
      <c r="E76" s="111"/>
      <c r="F76" s="111"/>
      <c r="G76" s="115"/>
      <c r="H76" s="115"/>
      <c r="I76" s="115"/>
      <c r="J76" s="111"/>
      <c r="K76" s="111"/>
      <c r="L76" s="111"/>
      <c r="M76" s="111"/>
      <c r="N76" s="212"/>
      <c r="O76" s="102"/>
    </row>
    <row r="77" spans="2:15" s="187" customFormat="1" ht="18">
      <c r="B77" s="110"/>
      <c r="C77" s="111"/>
      <c r="D77" s="211" t="s">
        <v>796</v>
      </c>
      <c r="E77" s="111"/>
      <c r="F77" s="111"/>
      <c r="G77" s="115"/>
      <c r="H77" s="115"/>
      <c r="I77" s="115"/>
      <c r="J77" s="111"/>
      <c r="K77" s="111"/>
      <c r="L77" s="111"/>
      <c r="M77" s="111"/>
      <c r="N77" s="101"/>
      <c r="O77" s="102"/>
    </row>
    <row r="78" spans="2:15" s="187" customFormat="1" ht="18">
      <c r="B78" s="110"/>
      <c r="C78" s="111"/>
      <c r="D78" s="123" t="s">
        <v>797</v>
      </c>
      <c r="E78" s="111"/>
      <c r="F78" s="111"/>
      <c r="G78" s="115"/>
      <c r="H78" s="115"/>
      <c r="I78" s="115"/>
      <c r="J78" s="111"/>
      <c r="K78" s="111"/>
      <c r="L78" s="111"/>
      <c r="M78" s="111"/>
      <c r="N78" s="101"/>
      <c r="O78" s="102"/>
    </row>
    <row r="79" spans="2:15" s="216" customFormat="1" ht="18">
      <c r="B79" s="110"/>
      <c r="C79" s="111"/>
      <c r="D79" s="123" t="s">
        <v>801</v>
      </c>
      <c r="E79" s="111"/>
      <c r="F79" s="111"/>
      <c r="G79" s="115"/>
      <c r="H79" s="115"/>
      <c r="I79" s="115"/>
      <c r="J79" s="111"/>
      <c r="K79" s="111"/>
      <c r="L79" s="111"/>
      <c r="M79" s="111"/>
      <c r="N79" s="101"/>
      <c r="O79" s="102"/>
    </row>
    <row r="80" spans="2:15" s="187" customFormat="1" ht="18">
      <c r="B80" s="110"/>
      <c r="C80" s="111"/>
      <c r="D80" s="211" t="s">
        <v>798</v>
      </c>
      <c r="E80" s="111"/>
      <c r="F80" s="111"/>
      <c r="G80" s="115"/>
      <c r="H80" s="115"/>
      <c r="I80" s="115"/>
      <c r="J80" s="111"/>
      <c r="K80" s="111"/>
      <c r="L80" s="111"/>
      <c r="M80" s="111"/>
      <c r="N80" s="101"/>
      <c r="O80" s="102"/>
    </row>
    <row r="81" spans="2:31" s="216" customFormat="1" ht="18">
      <c r="B81" s="110"/>
      <c r="C81" s="111"/>
      <c r="D81" s="211" t="s">
        <v>800</v>
      </c>
      <c r="E81" s="111"/>
      <c r="F81" s="111"/>
      <c r="G81" s="115"/>
      <c r="H81" s="115"/>
      <c r="I81" s="115"/>
      <c r="J81" s="111"/>
      <c r="K81" s="111"/>
      <c r="L81" s="111"/>
      <c r="M81" s="111"/>
      <c r="N81" s="101"/>
      <c r="O81" s="102"/>
    </row>
    <row r="82" spans="2:31" s="187" customFormat="1" ht="18">
      <c r="B82" s="110"/>
      <c r="C82" s="111"/>
      <c r="D82" s="111"/>
      <c r="E82" s="111"/>
      <c r="F82" s="111"/>
      <c r="G82" s="115"/>
      <c r="H82" s="115"/>
      <c r="I82" s="115"/>
      <c r="J82" s="111"/>
      <c r="K82" s="111"/>
      <c r="L82" s="111"/>
      <c r="M82" s="111"/>
      <c r="N82" s="101"/>
      <c r="O82" s="102"/>
    </row>
    <row r="83" spans="2:31" s="187" customFormat="1" ht="18">
      <c r="B83" s="110"/>
      <c r="C83" s="111" t="s">
        <v>775</v>
      </c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01"/>
      <c r="O83" s="102"/>
    </row>
    <row r="84" spans="2:31" s="187" customFormat="1" ht="18">
      <c r="B84" s="110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01"/>
      <c r="O84" s="102"/>
    </row>
    <row r="85" spans="2:31" s="187" customFormat="1" ht="18">
      <c r="B85" s="110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01"/>
      <c r="O85" s="102"/>
    </row>
    <row r="86" spans="2:31" s="187" customFormat="1" ht="18.75" thickBot="1">
      <c r="B86" s="110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01"/>
      <c r="O86" s="102"/>
    </row>
    <row r="87" spans="2:31" s="187" customFormat="1" ht="18.75" thickBot="1">
      <c r="B87" s="110"/>
      <c r="C87" s="111"/>
      <c r="D87" s="111" t="s">
        <v>36</v>
      </c>
      <c r="E87" s="111"/>
      <c r="F87" s="207" t="s">
        <v>808</v>
      </c>
      <c r="G87" s="111"/>
      <c r="H87" s="111"/>
      <c r="I87" s="111"/>
      <c r="J87" s="111"/>
      <c r="K87" s="111"/>
      <c r="L87" s="111"/>
      <c r="M87" s="111"/>
      <c r="N87" s="101"/>
      <c r="O87" s="102"/>
    </row>
    <row r="88" spans="2:31" s="187" customFormat="1" ht="18">
      <c r="B88" s="110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01"/>
      <c r="O88" s="102"/>
    </row>
    <row r="89" spans="2:31" s="187" customFormat="1" ht="18">
      <c r="B89" s="110"/>
      <c r="C89" s="111"/>
      <c r="D89" s="215" t="s">
        <v>754</v>
      </c>
      <c r="E89" s="111"/>
      <c r="F89" s="111"/>
      <c r="G89" s="111"/>
      <c r="H89" s="111"/>
      <c r="I89" s="111"/>
      <c r="J89" s="111"/>
      <c r="K89" s="111"/>
      <c r="L89" s="111"/>
      <c r="M89" s="111"/>
      <c r="N89" s="101"/>
      <c r="O89" s="102"/>
    </row>
    <row r="90" spans="2:31" s="187" customFormat="1" ht="18">
      <c r="B90" s="110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01"/>
      <c r="O90" s="102"/>
    </row>
    <row r="91" spans="2:31" s="187" customFormat="1" ht="18">
      <c r="B91" s="110"/>
      <c r="C91" s="111"/>
      <c r="D91" s="124" t="s">
        <v>755</v>
      </c>
      <c r="E91" s="123"/>
      <c r="F91" s="123"/>
      <c r="G91" s="123"/>
      <c r="H91" s="123"/>
      <c r="I91" s="123"/>
      <c r="J91" s="123"/>
      <c r="K91" s="111"/>
      <c r="L91" s="111"/>
      <c r="M91" s="111"/>
      <c r="N91" s="101"/>
      <c r="O91" s="102"/>
    </row>
    <row r="92" spans="2:31" s="187" customFormat="1" ht="18">
      <c r="B92" s="110"/>
      <c r="C92" s="111"/>
      <c r="D92" s="126" t="s">
        <v>756</v>
      </c>
      <c r="E92" s="123"/>
      <c r="F92" s="123"/>
      <c r="G92" s="123"/>
      <c r="H92" s="123"/>
      <c r="I92" s="123"/>
      <c r="J92" s="123"/>
      <c r="K92" s="111"/>
      <c r="L92" s="111"/>
      <c r="M92" s="111"/>
      <c r="N92" s="101"/>
      <c r="O92" s="102"/>
    </row>
    <row r="93" spans="2:31" s="216" customFormat="1" ht="18">
      <c r="B93" s="110"/>
      <c r="C93" s="111"/>
      <c r="D93" s="126" t="s">
        <v>802</v>
      </c>
      <c r="E93" s="123"/>
      <c r="F93" s="123"/>
      <c r="G93" s="123"/>
      <c r="H93" s="123"/>
      <c r="I93" s="123"/>
      <c r="J93" s="123"/>
      <c r="K93" s="111"/>
      <c r="L93" s="111"/>
      <c r="M93" s="111"/>
      <c r="N93" s="101"/>
      <c r="O93" s="102"/>
    </row>
    <row r="94" spans="2:31" s="216" customFormat="1" ht="18">
      <c r="B94" s="110"/>
      <c r="C94" s="111"/>
      <c r="D94" s="217"/>
      <c r="E94" s="111"/>
      <c r="F94" s="111"/>
      <c r="G94" s="111"/>
      <c r="H94" s="111"/>
      <c r="I94" s="111"/>
      <c r="J94" s="111"/>
      <c r="K94" s="111"/>
      <c r="L94" s="111"/>
      <c r="M94" s="111"/>
      <c r="N94" s="101"/>
      <c r="O94" s="102"/>
    </row>
    <row r="95" spans="2:31" s="187" customFormat="1" ht="18.75" thickBot="1">
      <c r="B95" s="208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210"/>
      <c r="T95" s="103"/>
      <c r="U95" s="103"/>
      <c r="V95" s="103"/>
      <c r="W95" s="103"/>
      <c r="X95" s="103"/>
      <c r="Y95" s="103"/>
      <c r="Z95" s="103"/>
      <c r="AA95" s="103"/>
      <c r="AB95" s="103"/>
      <c r="AC95" s="103"/>
      <c r="AD95" s="103"/>
      <c r="AE95" s="103"/>
    </row>
    <row r="96" spans="2:31" s="187" customFormat="1" ht="18.75" thickBot="1">
      <c r="S96" s="95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</row>
    <row r="97" spans="2:31" s="187" customFormat="1" ht="18">
      <c r="B97" s="96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8"/>
      <c r="S97" s="99"/>
      <c r="T97" s="100"/>
      <c r="U97" s="100"/>
      <c r="V97" s="100"/>
      <c r="W97" s="100"/>
      <c r="X97" s="100"/>
      <c r="Y97" s="100"/>
      <c r="Z97" s="100"/>
      <c r="AA97" s="100"/>
      <c r="AB97" s="103"/>
      <c r="AC97" s="103"/>
      <c r="AD97" s="103"/>
      <c r="AE97" s="103"/>
    </row>
    <row r="98" spans="2:31" s="187" customFormat="1" ht="18">
      <c r="B98" s="18" t="s">
        <v>761</v>
      </c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2"/>
      <c r="S98" s="99"/>
      <c r="T98" s="100"/>
      <c r="U98" s="100"/>
      <c r="V98" s="100"/>
      <c r="W98" s="100"/>
      <c r="X98" s="100"/>
      <c r="Y98" s="100"/>
      <c r="Z98" s="100"/>
      <c r="AA98" s="100"/>
      <c r="AB98" s="103"/>
      <c r="AC98" s="103"/>
      <c r="AD98" s="103"/>
      <c r="AE98" s="103"/>
    </row>
    <row r="99" spans="2:31" s="187" customFormat="1" ht="18">
      <c r="B99" s="18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2"/>
      <c r="S99" s="99"/>
      <c r="T99" s="100"/>
      <c r="U99" s="100"/>
      <c r="V99" s="100"/>
      <c r="W99" s="100"/>
      <c r="X99" s="100"/>
      <c r="Y99" s="100"/>
      <c r="Z99" s="100"/>
      <c r="AA99" s="100"/>
      <c r="AB99" s="103"/>
      <c r="AC99" s="103"/>
      <c r="AD99" s="103"/>
      <c r="AE99" s="103"/>
    </row>
    <row r="100" spans="2:31" ht="15" thickBot="1">
      <c r="B100" s="48"/>
      <c r="C100" s="49"/>
      <c r="D100" s="49"/>
      <c r="E100" s="49"/>
      <c r="F100" s="49"/>
      <c r="G100" s="49"/>
      <c r="H100" s="49"/>
      <c r="I100" s="49"/>
      <c r="J100" s="49"/>
      <c r="K100" s="49"/>
      <c r="L100" s="49" t="s">
        <v>94</v>
      </c>
      <c r="M100" s="49"/>
      <c r="N100" s="49"/>
      <c r="O100" s="49"/>
      <c r="P100" s="49"/>
      <c r="Q100" s="49"/>
      <c r="R100" s="50"/>
      <c r="S100" s="51"/>
      <c r="T100" s="52" t="str">
        <f>L100&amp;$C$349</f>
        <v>#define RF430_APP_DATA {    \</v>
      </c>
      <c r="U100" s="52"/>
      <c r="V100" s="52"/>
      <c r="W100" s="52"/>
      <c r="X100" s="52"/>
      <c r="Y100" s="52"/>
      <c r="Z100" s="52"/>
      <c r="AA100" s="52"/>
      <c r="AB100" s="86"/>
      <c r="AC100" s="86"/>
      <c r="AD100" s="86"/>
      <c r="AE100" s="86"/>
    </row>
    <row r="101" spans="2:31" ht="15" thickBot="1">
      <c r="B101" s="54" t="s">
        <v>31</v>
      </c>
      <c r="C101" s="55"/>
      <c r="D101" s="55"/>
      <c r="E101" s="55"/>
      <c r="F101" s="55"/>
      <c r="G101" s="55"/>
      <c r="H101" s="55"/>
      <c r="I101" s="55"/>
      <c r="J101" s="56"/>
      <c r="K101" s="49"/>
      <c r="L101" s="49" t="s">
        <v>30</v>
      </c>
      <c r="M101" s="49"/>
      <c r="N101" s="49"/>
      <c r="O101" s="49"/>
      <c r="P101" s="49"/>
      <c r="Q101" s="49"/>
      <c r="R101" s="50"/>
      <c r="S101" s="51"/>
      <c r="T101" s="52" t="str">
        <f>C101&amp;D101&amp;E101&amp;F101&amp;G101&amp;H101&amp;I101&amp;J101&amp;"    "&amp;L101&amp;$C$349</f>
        <v xml:space="preserve">    /*NDEF Tag Application */    \</v>
      </c>
      <c r="U101" s="52"/>
      <c r="V101" s="52"/>
      <c r="W101" s="52"/>
      <c r="X101" s="52"/>
      <c r="Y101" s="52"/>
      <c r="Z101" s="52"/>
      <c r="AA101" s="52"/>
      <c r="AB101" s="86"/>
      <c r="AC101" s="86"/>
      <c r="AD101" s="86"/>
      <c r="AE101" s="86"/>
    </row>
    <row r="102" spans="2:31" ht="15" thickBot="1">
      <c r="B102" s="57"/>
      <c r="C102" s="58" t="s">
        <v>98</v>
      </c>
      <c r="D102" s="59" t="s">
        <v>99</v>
      </c>
      <c r="E102" s="59" t="s">
        <v>100</v>
      </c>
      <c r="F102" s="59" t="s">
        <v>100</v>
      </c>
      <c r="G102" s="59" t="s">
        <v>101</v>
      </c>
      <c r="H102" s="59" t="s">
        <v>102</v>
      </c>
      <c r="I102" s="60" t="s">
        <v>102</v>
      </c>
      <c r="J102" s="61"/>
      <c r="K102" s="49"/>
      <c r="M102" s="49"/>
      <c r="N102" s="49"/>
      <c r="O102" s="49"/>
      <c r="P102" s="49"/>
      <c r="Q102" s="49"/>
      <c r="R102" s="50"/>
      <c r="S102" s="51"/>
      <c r="T102" s="52" t="str">
        <f>"    "&amp;C102&amp;D102&amp;E102&amp;F102&amp;G102&amp;H102&amp;I102&amp;"    "&amp;L102&amp;$C$349</f>
        <v xml:space="preserve">    0xD2, 0x76, 0x00, 0x00, 0x85, 0x01, 0x01,         \</v>
      </c>
      <c r="U102" s="52"/>
      <c r="V102" s="52"/>
      <c r="W102" s="52"/>
      <c r="X102" s="52"/>
      <c r="Y102" s="52"/>
      <c r="Z102" s="52"/>
      <c r="AA102" s="52"/>
      <c r="AB102" s="86"/>
      <c r="AC102" s="86"/>
      <c r="AD102" s="86"/>
      <c r="AE102" s="86"/>
    </row>
    <row r="103" spans="2:31" ht="15" thickBot="1">
      <c r="B103" s="48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50"/>
      <c r="S103" s="51"/>
      <c r="T103" s="52" t="str">
        <f>"    "&amp;C103&amp;D103&amp;E103&amp;F103&amp;G103&amp;H103&amp;I103&amp;J103&amp;"    "&amp;L103&amp;$C$349</f>
        <v xml:space="preserve">            \</v>
      </c>
      <c r="U103" s="52"/>
      <c r="V103" s="52"/>
      <c r="W103" s="52"/>
      <c r="X103" s="52"/>
      <c r="Y103" s="52"/>
      <c r="Z103" s="52"/>
      <c r="AA103" s="52"/>
      <c r="AB103" s="86"/>
      <c r="AC103" s="86"/>
      <c r="AD103" s="86"/>
      <c r="AE103" s="86"/>
    </row>
    <row r="104" spans="2:31" ht="15" thickBot="1">
      <c r="B104" s="54" t="s">
        <v>33</v>
      </c>
      <c r="C104" s="55"/>
      <c r="D104" s="55"/>
      <c r="E104" s="55"/>
      <c r="F104" s="55"/>
      <c r="G104" s="55"/>
      <c r="H104" s="55"/>
      <c r="I104" s="55"/>
      <c r="J104" s="56"/>
      <c r="K104" s="49"/>
      <c r="L104" s="49"/>
      <c r="M104" s="49"/>
      <c r="N104" s="49"/>
      <c r="O104" s="49"/>
      <c r="P104" s="49"/>
      <c r="Q104" s="49"/>
      <c r="R104" s="50"/>
      <c r="S104" s="51"/>
      <c r="T104" s="52"/>
      <c r="U104" s="52"/>
      <c r="V104" s="52"/>
      <c r="W104" s="52"/>
      <c r="X104" s="52"/>
      <c r="Y104" s="52"/>
      <c r="Z104" s="52"/>
      <c r="AA104" s="52"/>
      <c r="AB104" s="86"/>
      <c r="AC104" s="86"/>
      <c r="AD104" s="86"/>
      <c r="AE104" s="86"/>
    </row>
    <row r="105" spans="2:31" ht="15" thickBot="1">
      <c r="B105" s="57"/>
      <c r="C105" s="58" t="s">
        <v>103</v>
      </c>
      <c r="D105" s="60" t="s">
        <v>104</v>
      </c>
      <c r="E105" s="62"/>
      <c r="F105" s="62"/>
      <c r="G105" s="62"/>
      <c r="H105" s="62"/>
      <c r="I105" s="62"/>
      <c r="J105" s="61"/>
      <c r="K105" s="49"/>
      <c r="L105" s="49" t="s">
        <v>9</v>
      </c>
      <c r="M105" s="49"/>
      <c r="N105" s="49"/>
      <c r="O105" s="49"/>
      <c r="P105" s="49"/>
      <c r="Q105" s="49"/>
      <c r="R105" s="50"/>
      <c r="S105" s="51"/>
      <c r="T105" s="52" t="str">
        <f>"    "&amp;C105&amp;D105&amp;E105&amp;F105&amp;G105&amp;H105&amp;I105&amp;J105&amp;"    "&amp;L105&amp;$C$349</f>
        <v xml:space="preserve">    0xE1, 0x03,     /*Capability Container ID*/     \</v>
      </c>
      <c r="U105" s="52"/>
      <c r="V105" s="52"/>
      <c r="W105" s="52"/>
      <c r="X105" s="52"/>
      <c r="Y105" s="52"/>
      <c r="Z105" s="52"/>
      <c r="AA105" s="52"/>
      <c r="AB105" s="86"/>
      <c r="AC105" s="86"/>
      <c r="AD105" s="86"/>
      <c r="AE105" s="86"/>
    </row>
    <row r="106" spans="2:31" ht="15" thickBot="1">
      <c r="B106" s="48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50"/>
      <c r="S106" s="51"/>
      <c r="T106" s="52" t="str">
        <f>"    "&amp;"    "&amp;$C$349</f>
        <v xml:space="preserve">            \</v>
      </c>
      <c r="U106" s="52"/>
      <c r="V106" s="52"/>
      <c r="W106" s="52"/>
      <c r="X106" s="52"/>
      <c r="Y106" s="52"/>
      <c r="Z106" s="52"/>
      <c r="AA106" s="52"/>
      <c r="AB106" s="86"/>
      <c r="AC106" s="86"/>
      <c r="AD106" s="86"/>
      <c r="AE106" s="86"/>
    </row>
    <row r="107" spans="2:31" ht="15" thickBot="1">
      <c r="B107" s="54" t="s">
        <v>32</v>
      </c>
      <c r="C107" s="55"/>
      <c r="D107" s="55"/>
      <c r="E107" s="55"/>
      <c r="F107" s="55"/>
      <c r="G107" s="55"/>
      <c r="H107" s="55"/>
      <c r="I107" s="55"/>
      <c r="J107" s="56"/>
      <c r="K107" s="49"/>
      <c r="L107" s="49" t="s">
        <v>87</v>
      </c>
      <c r="M107" s="49"/>
      <c r="N107" s="49"/>
      <c r="O107" s="49"/>
      <c r="P107" s="49"/>
      <c r="Q107" s="49"/>
      <c r="R107" s="50"/>
      <c r="S107" s="51"/>
      <c r="T107" s="52" t="str">
        <f>C107&amp;D107&amp;E107&amp;F107&amp;G107&amp;H107&amp;I107&amp;J107&amp;"    "&amp;L107&amp;$C$349</f>
        <v xml:space="preserve">    /* CC file start */    \</v>
      </c>
      <c r="U107" s="52"/>
      <c r="V107" s="52"/>
      <c r="W107" s="52"/>
      <c r="X107" s="52"/>
      <c r="Y107" s="52"/>
      <c r="Z107" s="52"/>
      <c r="AA107" s="52"/>
      <c r="AB107" s="86"/>
      <c r="AC107" s="86"/>
      <c r="AD107" s="86"/>
      <c r="AE107" s="86"/>
    </row>
    <row r="108" spans="2:31" ht="15" thickBot="1">
      <c r="B108" s="48"/>
      <c r="C108" s="58" t="s">
        <v>100</v>
      </c>
      <c r="D108" s="60" t="s">
        <v>106</v>
      </c>
      <c r="E108" s="49"/>
      <c r="F108" s="49"/>
      <c r="G108" s="49"/>
      <c r="H108" s="49"/>
      <c r="I108" s="49"/>
      <c r="J108" s="50"/>
      <c r="K108" s="49"/>
      <c r="L108" s="49" t="s">
        <v>35</v>
      </c>
      <c r="M108" s="49"/>
      <c r="N108" s="49"/>
      <c r="O108" s="49"/>
      <c r="P108" s="49"/>
      <c r="Q108" s="49"/>
      <c r="R108" s="50"/>
      <c r="S108" s="51"/>
      <c r="T108" s="52" t="str">
        <f t="shared" ref="T108:T117" si="0">"    "&amp;C108&amp;D108&amp;E108&amp;F108&amp;G108&amp;H108&amp;I108&amp;J108&amp;"    "&amp;L108&amp;$C$349</f>
        <v xml:space="preserve">    0x00, 0x0F,     /* CCLEN 15bytes fix*/    \</v>
      </c>
      <c r="U108" s="52"/>
      <c r="V108" s="52"/>
      <c r="W108" s="52"/>
      <c r="X108" s="52"/>
      <c r="Y108" s="52"/>
      <c r="Z108" s="52"/>
      <c r="AA108" s="52"/>
      <c r="AB108" s="86"/>
      <c r="AC108" s="86"/>
      <c r="AD108" s="86"/>
      <c r="AE108" s="86"/>
    </row>
    <row r="109" spans="2:31" ht="15" thickBot="1">
      <c r="B109" s="48"/>
      <c r="C109" s="63" t="s">
        <v>107</v>
      </c>
      <c r="D109" s="49"/>
      <c r="E109" s="49"/>
      <c r="F109" s="49"/>
      <c r="G109" s="49"/>
      <c r="H109" s="49"/>
      <c r="I109" s="49"/>
      <c r="J109" s="50"/>
      <c r="K109" s="49"/>
      <c r="L109" s="49" t="s">
        <v>10</v>
      </c>
      <c r="M109" s="49"/>
      <c r="N109" s="49"/>
      <c r="O109" s="49"/>
      <c r="P109" s="49"/>
      <c r="Q109" s="49"/>
      <c r="R109" s="50"/>
      <c r="S109" s="51"/>
      <c r="T109" s="52" t="str">
        <f t="shared" si="0"/>
        <v xml:space="preserve">    0x20,     /* Mapping version 2.0 */    \</v>
      </c>
      <c r="U109" s="52"/>
      <c r="V109" s="52"/>
      <c r="W109" s="52"/>
      <c r="X109" s="52"/>
      <c r="Y109" s="52"/>
      <c r="Z109" s="52"/>
      <c r="AA109" s="52"/>
      <c r="AB109" s="86"/>
      <c r="AC109" s="86"/>
      <c r="AD109" s="86"/>
      <c r="AE109" s="86"/>
    </row>
    <row r="110" spans="2:31" ht="15" thickBot="1">
      <c r="B110" s="48"/>
      <c r="C110" s="64" t="s">
        <v>100</v>
      </c>
      <c r="D110" s="65" t="s">
        <v>811</v>
      </c>
      <c r="E110" s="49"/>
      <c r="F110" s="49"/>
      <c r="G110" s="49"/>
      <c r="H110" s="49"/>
      <c r="I110" s="49"/>
      <c r="J110" s="50"/>
      <c r="K110" s="49"/>
      <c r="L110" s="49" t="s">
        <v>11</v>
      </c>
      <c r="M110" s="49"/>
      <c r="N110" s="49"/>
      <c r="O110" s="49"/>
      <c r="P110" s="49"/>
      <c r="Q110" s="49"/>
      <c r="R110" s="50"/>
      <c r="S110" s="51"/>
      <c r="T110" s="52" t="str">
        <f t="shared" si="0"/>
        <v xml:space="preserve">    0x00, 0xF9,    /* MLe (49 bytes); Maximum R-APDU data size */    \</v>
      </c>
      <c r="U110" s="52"/>
      <c r="V110" s="52"/>
      <c r="W110" s="52"/>
      <c r="X110" s="52"/>
      <c r="Y110" s="52"/>
      <c r="Z110" s="52"/>
      <c r="AA110" s="52"/>
      <c r="AB110" s="86"/>
      <c r="AC110" s="86"/>
      <c r="AD110" s="86"/>
      <c r="AE110" s="86"/>
    </row>
    <row r="111" spans="2:31" ht="15" thickBot="1">
      <c r="B111" s="48"/>
      <c r="C111" s="58" t="s">
        <v>100</v>
      </c>
      <c r="D111" s="60" t="s">
        <v>810</v>
      </c>
      <c r="E111" s="49"/>
      <c r="F111" s="49"/>
      <c r="G111" s="49"/>
      <c r="H111" s="49"/>
      <c r="I111" s="49"/>
      <c r="J111" s="50"/>
      <c r="K111" s="49"/>
      <c r="L111" s="49" t="s">
        <v>46</v>
      </c>
      <c r="M111" s="49"/>
      <c r="N111" s="49"/>
      <c r="O111" s="49"/>
      <c r="P111" s="49"/>
      <c r="Q111" s="49"/>
      <c r="R111" s="50"/>
      <c r="S111" s="51"/>
      <c r="T111" s="52" t="str">
        <f t="shared" si="0"/>
        <v xml:space="preserve">    0x00, 0xF6,     /* MLc (52 bytes); Maximum C-APDU data size */    \</v>
      </c>
      <c r="U111" s="52"/>
      <c r="V111" s="52"/>
      <c r="W111" s="52"/>
      <c r="X111" s="52"/>
      <c r="Y111" s="52"/>
      <c r="Z111" s="52"/>
      <c r="AA111" s="52"/>
      <c r="AB111" s="86"/>
      <c r="AC111" s="86"/>
      <c r="AD111" s="86"/>
      <c r="AE111" s="86"/>
    </row>
    <row r="112" spans="2:31" ht="15" thickBot="1">
      <c r="B112" s="48" t="s">
        <v>49</v>
      </c>
      <c r="C112" s="66" t="s">
        <v>108</v>
      </c>
      <c r="D112" s="49"/>
      <c r="E112" s="49"/>
      <c r="F112" s="49"/>
      <c r="G112" s="49"/>
      <c r="H112" s="49"/>
      <c r="I112" s="49"/>
      <c r="J112" s="50"/>
      <c r="K112" s="49"/>
      <c r="L112" s="49" t="s">
        <v>12</v>
      </c>
      <c r="M112" s="49"/>
      <c r="N112" s="49"/>
      <c r="O112" s="49"/>
      <c r="P112" s="49"/>
      <c r="Q112" s="49"/>
      <c r="R112" s="50"/>
      <c r="S112" s="51"/>
      <c r="T112" s="52" t="str">
        <f t="shared" si="0"/>
        <v xml:space="preserve">    0x04,     /* Tag, File Control TLV (4 = NDEF file) */    \</v>
      </c>
      <c r="U112" s="52"/>
      <c r="V112" s="52"/>
      <c r="W112" s="52"/>
      <c r="X112" s="52"/>
      <c r="Y112" s="52"/>
      <c r="Z112" s="52"/>
      <c r="AA112" s="52"/>
      <c r="AB112" s="86"/>
      <c r="AC112" s="86"/>
      <c r="AD112" s="86"/>
      <c r="AE112" s="86"/>
    </row>
    <row r="113" spans="2:31" ht="15" thickBot="1">
      <c r="B113" s="48" t="s">
        <v>50</v>
      </c>
      <c r="C113" s="66" t="s">
        <v>109</v>
      </c>
      <c r="D113" s="57"/>
      <c r="E113" s="49"/>
      <c r="F113" s="49"/>
      <c r="G113" s="49"/>
      <c r="H113" s="49"/>
      <c r="I113" s="49"/>
      <c r="J113" s="50"/>
      <c r="K113" s="49"/>
      <c r="L113" s="49" t="s">
        <v>13</v>
      </c>
      <c r="M113" s="49"/>
      <c r="N113" s="49"/>
      <c r="O113" s="49"/>
      <c r="P113" s="49"/>
      <c r="Q113" s="49"/>
      <c r="R113" s="50"/>
      <c r="S113" s="51"/>
      <c r="T113" s="52" t="str">
        <f t="shared" si="0"/>
        <v xml:space="preserve">    0x06,     /* Length, File Control TLV (6 = 6 bytes of data for this tag) */    \</v>
      </c>
      <c r="U113" s="52"/>
      <c r="V113" s="52"/>
      <c r="W113" s="52"/>
      <c r="X113" s="52"/>
      <c r="Y113" s="52"/>
      <c r="Z113" s="52"/>
      <c r="AA113" s="52"/>
      <c r="AB113" s="86"/>
      <c r="AC113" s="86"/>
      <c r="AD113" s="86"/>
      <c r="AE113" s="86"/>
    </row>
    <row r="114" spans="2:31">
      <c r="B114" s="67" t="s">
        <v>51</v>
      </c>
      <c r="C114" s="68" t="s">
        <v>103</v>
      </c>
      <c r="D114" s="69" t="s">
        <v>108</v>
      </c>
      <c r="E114" s="49"/>
      <c r="F114" s="49"/>
      <c r="G114" s="49"/>
      <c r="H114" s="49"/>
      <c r="I114" s="49"/>
      <c r="J114" s="50"/>
      <c r="K114" s="49"/>
      <c r="L114" s="49" t="s">
        <v>47</v>
      </c>
      <c r="M114" s="49"/>
      <c r="N114" s="49"/>
      <c r="O114" s="49"/>
      <c r="P114" s="49"/>
      <c r="Q114" s="49"/>
      <c r="R114" s="50"/>
      <c r="S114" s="51"/>
      <c r="T114" s="52" t="str">
        <f t="shared" si="0"/>
        <v xml:space="preserve">    0xE1, 0x04,     /* Type4 Tag File Identifier */    \</v>
      </c>
      <c r="U114" s="52"/>
      <c r="V114" s="52"/>
      <c r="W114" s="52"/>
      <c r="X114" s="52"/>
      <c r="Y114" s="52"/>
      <c r="Z114" s="52"/>
      <c r="AA114" s="52"/>
      <c r="AB114" s="86"/>
      <c r="AC114" s="86"/>
      <c r="AD114" s="86"/>
      <c r="AE114" s="86"/>
    </row>
    <row r="115" spans="2:31" ht="15" thickBot="1">
      <c r="B115" s="67"/>
      <c r="C115" s="70" t="s">
        <v>111</v>
      </c>
      <c r="D115" s="71" t="s">
        <v>112</v>
      </c>
      <c r="E115" s="49"/>
      <c r="F115" s="49"/>
      <c r="G115" s="49"/>
      <c r="H115" s="49"/>
      <c r="I115" s="49"/>
      <c r="J115" s="50"/>
      <c r="K115" s="49"/>
      <c r="L115" s="49" t="s">
        <v>48</v>
      </c>
      <c r="M115" s="49"/>
      <c r="N115" s="49"/>
      <c r="O115" s="49"/>
      <c r="P115" s="49"/>
      <c r="Q115" s="49"/>
      <c r="R115" s="50"/>
      <c r="S115" s="51"/>
      <c r="T115" s="52" t="str">
        <f t="shared" si="0"/>
        <v xml:space="preserve">    0x0B, 0xDF,     /* Max NDEF size (3037 bytes of RF430CL330 useable memory) */    \</v>
      </c>
      <c r="U115" s="52"/>
      <c r="V115" s="52"/>
      <c r="W115" s="52"/>
      <c r="X115" s="52"/>
      <c r="Y115" s="52"/>
      <c r="Z115" s="52"/>
      <c r="AA115" s="52"/>
      <c r="AB115" s="86"/>
      <c r="AC115" s="86"/>
      <c r="AD115" s="86"/>
      <c r="AE115" s="86"/>
    </row>
    <row r="116" spans="2:31">
      <c r="B116" s="67"/>
      <c r="C116" s="72" t="s">
        <v>100</v>
      </c>
      <c r="D116" s="55"/>
      <c r="E116" s="49"/>
      <c r="F116" s="49"/>
      <c r="G116" s="49"/>
      <c r="H116" s="49"/>
      <c r="I116" s="49"/>
      <c r="J116" s="50"/>
      <c r="K116" s="49"/>
      <c r="L116" s="49" t="s">
        <v>14</v>
      </c>
      <c r="M116" s="49"/>
      <c r="N116" s="49"/>
      <c r="O116" s="49"/>
      <c r="P116" s="49"/>
      <c r="Q116" s="49"/>
      <c r="R116" s="50"/>
      <c r="S116" s="51"/>
      <c r="T116" s="52" t="str">
        <f t="shared" si="0"/>
        <v xml:space="preserve">    0x00,     /* NDEF file read access condition, read access without any security */    \</v>
      </c>
      <c r="U116" s="52"/>
      <c r="V116" s="52"/>
      <c r="W116" s="52"/>
      <c r="X116" s="52"/>
      <c r="Y116" s="52"/>
      <c r="Z116" s="52"/>
      <c r="AA116" s="52"/>
      <c r="AB116" s="86"/>
      <c r="AC116" s="86"/>
      <c r="AD116" s="86"/>
      <c r="AE116" s="86"/>
    </row>
    <row r="117" spans="2:31" ht="15" thickBot="1">
      <c r="B117" s="73"/>
      <c r="C117" s="74" t="s">
        <v>100</v>
      </c>
      <c r="D117" s="62"/>
      <c r="E117" s="62"/>
      <c r="F117" s="62"/>
      <c r="G117" s="62"/>
      <c r="H117" s="62"/>
      <c r="I117" s="62"/>
      <c r="J117" s="61"/>
      <c r="K117" s="49"/>
      <c r="L117" s="49" t="s">
        <v>15</v>
      </c>
      <c r="M117" s="49"/>
      <c r="N117" s="49"/>
      <c r="O117" s="49"/>
      <c r="P117" s="49"/>
      <c r="Q117" s="49"/>
      <c r="R117" s="50"/>
      <c r="S117" s="51"/>
      <c r="T117" s="52" t="str">
        <f t="shared" si="0"/>
        <v xml:space="preserve">    0x00,     /* NDEF file write access condition; write access without any security */    \</v>
      </c>
      <c r="U117" s="52"/>
      <c r="V117" s="52"/>
      <c r="W117" s="52"/>
      <c r="X117" s="52"/>
      <c r="Y117" s="52"/>
      <c r="Z117" s="52"/>
      <c r="AA117" s="52"/>
      <c r="AB117" s="86"/>
      <c r="AC117" s="86"/>
      <c r="AD117" s="86"/>
      <c r="AE117" s="86"/>
    </row>
    <row r="118" spans="2:31" ht="15" thickBot="1">
      <c r="B118" s="48"/>
      <c r="C118" s="49"/>
      <c r="D118" s="49"/>
      <c r="E118" s="49"/>
      <c r="F118" s="49"/>
      <c r="G118" s="49"/>
      <c r="H118" s="49"/>
      <c r="I118" s="49"/>
      <c r="J118" s="49"/>
      <c r="K118" s="49"/>
      <c r="L118" s="49" t="s">
        <v>86</v>
      </c>
      <c r="M118" s="49"/>
      <c r="N118" s="49"/>
      <c r="O118" s="49"/>
      <c r="P118" s="49"/>
      <c r="Q118" s="49"/>
      <c r="R118" s="50"/>
      <c r="S118" s="51"/>
      <c r="T118" s="52" t="str">
        <f>C118&amp;D118&amp;E118&amp;F118&amp;G118&amp;H118&amp;I118&amp;J118&amp;"    "&amp;L118&amp;$C$349</f>
        <v xml:space="preserve">    /* CC file end */    \</v>
      </c>
      <c r="U118" s="52"/>
      <c r="V118" s="52"/>
      <c r="W118" s="52"/>
      <c r="X118" s="52"/>
      <c r="Y118" s="52"/>
      <c r="Z118" s="52"/>
      <c r="AA118" s="52"/>
      <c r="AB118" s="86"/>
      <c r="AC118" s="86"/>
      <c r="AD118" s="86"/>
      <c r="AE118" s="86"/>
    </row>
    <row r="119" spans="2:31" ht="15" thickBot="1">
      <c r="B119" s="54" t="s">
        <v>53</v>
      </c>
      <c r="C119" s="55"/>
      <c r="D119" s="55"/>
      <c r="E119" s="55"/>
      <c r="F119" s="55"/>
      <c r="G119" s="55"/>
      <c r="H119" s="55"/>
      <c r="I119" s="55"/>
      <c r="J119" s="56"/>
      <c r="K119" s="49"/>
      <c r="L119" s="49"/>
      <c r="M119" s="49"/>
      <c r="N119" s="49"/>
      <c r="O119" s="49"/>
      <c r="P119" s="49"/>
      <c r="Q119" s="49"/>
      <c r="R119" s="50"/>
      <c r="S119" s="51"/>
      <c r="T119" s="52" t="str">
        <f>"    "&amp;"    "&amp;$C$349</f>
        <v xml:space="preserve">            \</v>
      </c>
      <c r="U119" s="52"/>
      <c r="V119" s="52"/>
      <c r="W119" s="52"/>
      <c r="X119" s="52"/>
      <c r="Y119" s="52"/>
      <c r="Z119" s="52"/>
      <c r="AA119" s="52"/>
      <c r="AB119" s="86"/>
      <c r="AC119" s="86"/>
      <c r="AD119" s="86"/>
      <c r="AE119" s="86"/>
    </row>
    <row r="120" spans="2:31" ht="15" thickBot="1">
      <c r="B120" s="57"/>
      <c r="C120" s="66" t="s">
        <v>103</v>
      </c>
      <c r="D120" s="66" t="s">
        <v>108</v>
      </c>
      <c r="E120" s="62"/>
      <c r="F120" s="62"/>
      <c r="G120" s="62"/>
      <c r="H120" s="62"/>
      <c r="I120" s="62"/>
      <c r="J120" s="61"/>
      <c r="K120" s="49"/>
      <c r="L120" s="49" t="s">
        <v>16</v>
      </c>
      <c r="M120" s="49"/>
      <c r="N120" s="49"/>
      <c r="O120" s="49"/>
      <c r="P120" s="49"/>
      <c r="Q120" s="49"/>
      <c r="R120" s="50"/>
      <c r="S120" s="51"/>
      <c r="T120" s="52" t="str">
        <f>"    "&amp;C120&amp;D120&amp;E120&amp;F120&amp;G120&amp;H120&amp;I120&amp;J120&amp;"    "&amp;L120&amp;$C$349</f>
        <v xml:space="preserve">    0xE1, 0x04,     /* NDEF File ID */     \</v>
      </c>
      <c r="U120" s="52"/>
      <c r="V120" s="52"/>
      <c r="W120" s="52"/>
      <c r="X120" s="52"/>
      <c r="Y120" s="52"/>
      <c r="Z120" s="52"/>
      <c r="AA120" s="52"/>
      <c r="AB120" s="86"/>
      <c r="AC120" s="86"/>
      <c r="AD120" s="86"/>
      <c r="AE120" s="86"/>
    </row>
    <row r="121" spans="2:31" ht="15" thickBot="1">
      <c r="B121" s="48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50"/>
      <c r="S121" s="51"/>
      <c r="T121" s="52" t="str">
        <f>"    "&amp;"    "&amp;$C$349</f>
        <v xml:space="preserve">            \</v>
      </c>
      <c r="U121" s="52"/>
      <c r="V121" s="52"/>
      <c r="W121" s="52"/>
      <c r="X121" s="52"/>
      <c r="Y121" s="52"/>
      <c r="Z121" s="52"/>
      <c r="AA121" s="52"/>
      <c r="AB121" s="86"/>
      <c r="AC121" s="86"/>
      <c r="AD121" s="86"/>
      <c r="AE121" s="86"/>
    </row>
    <row r="122" spans="2:31" ht="15" thickBot="1">
      <c r="B122" s="54" t="s">
        <v>54</v>
      </c>
      <c r="C122" s="55"/>
      <c r="D122" s="55"/>
      <c r="E122" s="55"/>
      <c r="F122" s="55"/>
      <c r="G122" s="55"/>
      <c r="H122" s="55"/>
      <c r="I122" s="55"/>
      <c r="J122" s="56"/>
      <c r="K122" s="49"/>
      <c r="L122" s="49"/>
      <c r="M122" s="49"/>
      <c r="N122" s="49"/>
      <c r="O122" s="49"/>
      <c r="P122" s="49"/>
      <c r="Q122" s="49"/>
      <c r="R122" s="50"/>
      <c r="S122" s="51"/>
      <c r="T122" s="52"/>
      <c r="U122" s="52"/>
      <c r="V122" s="52"/>
      <c r="W122" s="52"/>
      <c r="X122" s="52"/>
      <c r="Y122" s="52"/>
      <c r="Z122" s="52"/>
      <c r="AA122" s="52"/>
      <c r="AB122" s="86"/>
      <c r="AC122" s="86"/>
      <c r="AD122" s="86"/>
      <c r="AE122" s="86"/>
    </row>
    <row r="123" spans="2:31" ht="15" thickBot="1">
      <c r="B123" s="57"/>
      <c r="C123" s="58" t="s">
        <v>100</v>
      </c>
      <c r="D123" s="60" t="str">
        <f>$H$346</f>
        <v xml:space="preserve">0x46, </v>
      </c>
      <c r="E123" s="62"/>
      <c r="F123" s="62"/>
      <c r="G123" s="62"/>
      <c r="H123" s="62"/>
      <c r="I123" s="62"/>
      <c r="J123" s="61"/>
      <c r="K123" s="49"/>
      <c r="L123" s="49" t="str">
        <f>"/* NDEF Length "&amp;F347&amp;"bytes */"</f>
        <v>/* NDEF Length bytes */</v>
      </c>
      <c r="M123" s="49"/>
      <c r="N123" s="49"/>
      <c r="O123" s="49"/>
      <c r="P123" s="49"/>
      <c r="Q123" s="49"/>
      <c r="R123" s="50"/>
      <c r="S123" s="51"/>
      <c r="T123" s="52" t="str">
        <f>"    "&amp;C123&amp;D123&amp;E123&amp;F123&amp;G123&amp;H123&amp;I123&amp;J123&amp;"    "&amp;L123&amp;$C$349</f>
        <v xml:space="preserve">    0x00, 0x46,     /* NDEF Length bytes */    \</v>
      </c>
      <c r="U123" s="52"/>
      <c r="V123" s="52"/>
      <c r="W123" s="52"/>
      <c r="X123" s="52"/>
      <c r="Y123" s="52"/>
      <c r="Z123" s="52"/>
      <c r="AA123" s="52"/>
      <c r="AB123" s="86"/>
      <c r="AC123" s="86"/>
      <c r="AD123" s="86"/>
      <c r="AE123" s="86"/>
    </row>
    <row r="124" spans="2:31" ht="15" thickBot="1">
      <c r="B124" s="48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50"/>
      <c r="S124" s="51"/>
      <c r="T124" s="52" t="str">
        <f>"    "&amp;"    "&amp;$C$349</f>
        <v xml:space="preserve">            \</v>
      </c>
      <c r="U124" s="52"/>
      <c r="V124" s="52"/>
      <c r="W124" s="52"/>
      <c r="X124" s="52"/>
      <c r="Y124" s="52"/>
      <c r="Z124" s="52"/>
      <c r="AA124" s="52"/>
      <c r="AB124" s="86"/>
      <c r="AC124" s="86"/>
      <c r="AD124" s="86"/>
      <c r="AE124" s="86"/>
    </row>
    <row r="125" spans="2:31" ht="15" thickBot="1">
      <c r="B125" s="54" t="s">
        <v>52</v>
      </c>
      <c r="C125" s="55"/>
      <c r="D125" s="55"/>
      <c r="E125" s="55"/>
      <c r="F125" s="55"/>
      <c r="G125" s="55"/>
      <c r="H125" s="55"/>
      <c r="I125" s="55"/>
      <c r="J125" s="56"/>
      <c r="K125" s="49"/>
      <c r="L125" s="49" t="s">
        <v>68</v>
      </c>
      <c r="M125" s="49"/>
      <c r="N125" s="49"/>
      <c r="O125" s="49"/>
      <c r="P125" s="49"/>
      <c r="Q125" s="49"/>
      <c r="R125" s="50"/>
      <c r="S125" s="51"/>
      <c r="T125" s="52" t="str">
        <f>C125&amp;D125&amp;E125&amp;F125&amp;G125&amp;H125&amp;I125&amp;J125&amp;"    "&amp;L125&amp;$C$349</f>
        <v xml:space="preserve">    /* NDEF start */    \</v>
      </c>
      <c r="U125" s="52"/>
      <c r="V125" s="52"/>
      <c r="W125" s="52"/>
      <c r="X125" s="52"/>
      <c r="Y125" s="52"/>
      <c r="Z125" s="52"/>
      <c r="AA125" s="52"/>
      <c r="AB125" s="86"/>
      <c r="AC125" s="86"/>
      <c r="AD125" s="86"/>
      <c r="AE125" s="86"/>
    </row>
    <row r="126" spans="2:31" ht="15" thickBot="1">
      <c r="B126" s="48" t="s">
        <v>57</v>
      </c>
      <c r="C126" s="66" t="s">
        <v>655</v>
      </c>
      <c r="D126" s="49"/>
      <c r="E126" s="49"/>
      <c r="F126" s="49"/>
      <c r="G126" s="49"/>
      <c r="H126" s="49"/>
      <c r="I126" s="49"/>
      <c r="J126" s="50"/>
      <c r="K126" s="49"/>
      <c r="L126" s="49" t="s">
        <v>656</v>
      </c>
      <c r="M126" s="49"/>
      <c r="N126" s="49"/>
      <c r="O126" s="49"/>
      <c r="P126" s="49"/>
      <c r="Q126" s="49"/>
      <c r="R126" s="50"/>
      <c r="S126" s="51"/>
      <c r="T126" s="52" t="str">
        <f>"    "&amp;C126&amp;D126&amp;E126&amp;F126&amp;G126&amp;H126&amp;I126&amp;J126&amp;"    "&amp;L126&amp;$C$349</f>
        <v xml:space="preserve">    0xDA,    /* NDEF Header MB=1, ME=1, CF=0, SR=1, IL=1, TNF=2 */    \</v>
      </c>
      <c r="U126" s="52"/>
      <c r="V126" s="52"/>
      <c r="W126" s="52"/>
      <c r="X126" s="52"/>
      <c r="Y126" s="52"/>
      <c r="Z126" s="52"/>
      <c r="AA126" s="52"/>
      <c r="AB126" s="86"/>
      <c r="AC126" s="86"/>
      <c r="AD126" s="86"/>
      <c r="AE126" s="86"/>
    </row>
    <row r="127" spans="2:31">
      <c r="B127" s="48"/>
      <c r="C127" s="75" t="s">
        <v>0</v>
      </c>
      <c r="D127" s="76" t="s">
        <v>1</v>
      </c>
      <c r="E127" s="76" t="s">
        <v>2</v>
      </c>
      <c r="F127" s="76" t="s">
        <v>3</v>
      </c>
      <c r="G127" s="76" t="s">
        <v>4</v>
      </c>
      <c r="H127" s="223" t="s">
        <v>5</v>
      </c>
      <c r="I127" s="223"/>
      <c r="J127" s="224"/>
      <c r="K127" s="49"/>
      <c r="L127" s="49"/>
      <c r="M127" s="49"/>
      <c r="N127" s="49"/>
      <c r="O127" s="49"/>
      <c r="P127" s="49"/>
      <c r="Q127" s="49"/>
      <c r="R127" s="50"/>
      <c r="S127" s="51"/>
      <c r="T127" s="52" t="str">
        <f>"    "&amp;"    "&amp;$C$349</f>
        <v xml:space="preserve">            \</v>
      </c>
      <c r="U127" s="52"/>
      <c r="V127" s="52"/>
      <c r="W127" s="52"/>
      <c r="X127" s="52"/>
      <c r="Y127" s="52"/>
      <c r="Z127" s="52"/>
      <c r="AA127" s="52"/>
      <c r="AB127" s="86"/>
      <c r="AC127" s="86"/>
      <c r="AD127" s="86"/>
      <c r="AE127" s="86"/>
    </row>
    <row r="128" spans="2:31">
      <c r="B128" s="48"/>
      <c r="C128" s="76">
        <v>1</v>
      </c>
      <c r="D128" s="76">
        <v>1</v>
      </c>
      <c r="E128" s="76">
        <v>0</v>
      </c>
      <c r="F128" s="76">
        <v>1</v>
      </c>
      <c r="G128" s="76">
        <v>1</v>
      </c>
      <c r="H128" s="76">
        <v>0</v>
      </c>
      <c r="I128" s="76">
        <v>1</v>
      </c>
      <c r="J128" s="77">
        <v>0</v>
      </c>
      <c r="K128" s="49"/>
      <c r="L128" s="49"/>
      <c r="M128" s="49"/>
      <c r="N128" s="49"/>
      <c r="O128" s="49"/>
      <c r="P128" s="49"/>
      <c r="Q128" s="49"/>
      <c r="R128" s="50"/>
      <c r="S128" s="51"/>
      <c r="T128" s="52"/>
      <c r="U128" s="52"/>
      <c r="V128" s="52"/>
      <c r="W128" s="52"/>
      <c r="X128" s="52"/>
      <c r="Y128" s="52"/>
      <c r="Z128" s="52"/>
      <c r="AA128" s="52"/>
      <c r="AB128" s="86"/>
      <c r="AC128" s="86"/>
      <c r="AD128" s="86"/>
      <c r="AE128" s="86"/>
    </row>
    <row r="129" spans="2:31" ht="15" thickBot="1">
      <c r="B129" s="48" t="s">
        <v>58</v>
      </c>
      <c r="C129" s="49"/>
      <c r="D129" s="49"/>
      <c r="E129" s="49"/>
      <c r="F129" s="49"/>
      <c r="G129" s="49"/>
      <c r="H129" s="49"/>
      <c r="I129" s="49"/>
      <c r="J129" s="50"/>
      <c r="K129" s="49"/>
      <c r="L129" s="49"/>
      <c r="M129" s="49"/>
      <c r="N129" s="49"/>
      <c r="O129" s="49"/>
      <c r="P129" s="49"/>
      <c r="Q129" s="49"/>
      <c r="R129" s="50"/>
      <c r="S129" s="51"/>
      <c r="T129" s="52"/>
      <c r="U129" s="52"/>
      <c r="V129" s="52"/>
      <c r="W129" s="52"/>
      <c r="X129" s="52"/>
      <c r="Y129" s="52"/>
      <c r="Z129" s="52"/>
      <c r="AA129" s="52"/>
      <c r="AB129" s="86"/>
      <c r="AC129" s="86"/>
      <c r="AD129" s="86"/>
      <c r="AE129" s="86"/>
    </row>
    <row r="130" spans="2:31" ht="15" thickBot="1">
      <c r="B130" s="48"/>
      <c r="C130" s="66" t="s">
        <v>661</v>
      </c>
      <c r="D130" s="49"/>
      <c r="E130" s="49"/>
      <c r="F130" s="49"/>
      <c r="G130" s="49"/>
      <c r="H130" s="49"/>
      <c r="I130" s="49"/>
      <c r="J130" s="50"/>
      <c r="K130" s="49"/>
      <c r="L130" s="49" t="s">
        <v>64</v>
      </c>
      <c r="M130" s="49"/>
      <c r="N130" s="49"/>
      <c r="O130" s="49"/>
      <c r="P130" s="49"/>
      <c r="Q130" s="49"/>
      <c r="R130" s="50"/>
      <c r="S130" s="51"/>
      <c r="T130" s="52" t="str">
        <f>"    "&amp;C130&amp;D130&amp;E130&amp;F130&amp;G130&amp;H130&amp;I130&amp;J130&amp;"    "&amp;L130&amp;$C$349</f>
        <v xml:space="preserve">    0x20,    /* Type Length 1 byte */    \</v>
      </c>
      <c r="U130" s="52"/>
      <c r="V130" s="52"/>
      <c r="W130" s="52"/>
      <c r="X130" s="52"/>
      <c r="Y130" s="52"/>
      <c r="Z130" s="52"/>
      <c r="AA130" s="52"/>
      <c r="AB130" s="86"/>
      <c r="AC130" s="86"/>
      <c r="AD130" s="86"/>
      <c r="AE130" s="86"/>
    </row>
    <row r="131" spans="2:31" ht="15" thickBot="1">
      <c r="B131" s="48" t="s">
        <v>60</v>
      </c>
      <c r="C131" s="49"/>
      <c r="D131" s="49"/>
      <c r="E131" s="49"/>
      <c r="F131" s="49"/>
      <c r="G131" s="49"/>
      <c r="H131" s="49"/>
      <c r="I131" s="49"/>
      <c r="J131" s="50"/>
      <c r="K131" s="49"/>
      <c r="L131" s="49"/>
      <c r="M131" s="49"/>
      <c r="N131" s="49"/>
      <c r="O131" s="49"/>
      <c r="P131" s="49"/>
      <c r="Q131" s="49"/>
      <c r="R131" s="50"/>
      <c r="S131" s="51"/>
      <c r="T131" s="52" t="str">
        <f>"    "&amp;"    "&amp;$C$349</f>
        <v xml:space="preserve">            \</v>
      </c>
      <c r="U131" s="52"/>
      <c r="V131" s="52"/>
      <c r="W131" s="52"/>
      <c r="X131" s="52"/>
      <c r="Y131" s="52"/>
      <c r="Z131" s="52"/>
      <c r="AA131" s="52"/>
      <c r="AB131" s="86"/>
      <c r="AC131" s="86"/>
      <c r="AD131" s="86"/>
      <c r="AE131" s="86"/>
    </row>
    <row r="132" spans="2:31" ht="15" thickBot="1">
      <c r="B132" s="48"/>
      <c r="C132" s="66" t="str">
        <f>$H$335</f>
        <v xml:space="preserve">0x21, </v>
      </c>
      <c r="D132" s="49"/>
      <c r="E132" s="49"/>
      <c r="F132" s="49"/>
      <c r="G132" s="49"/>
      <c r="H132" s="49"/>
      <c r="I132" s="49"/>
      <c r="J132" s="50"/>
      <c r="K132" s="49"/>
      <c r="L132" s="49" t="str">
        <f>"/* Payload length "&amp;F337&amp;"bytes */"</f>
        <v>/* Payload length bytes */</v>
      </c>
      <c r="M132" s="49"/>
      <c r="N132" s="49"/>
      <c r="O132" s="49"/>
      <c r="P132" s="49"/>
      <c r="Q132" s="49"/>
      <c r="R132" s="50"/>
      <c r="S132" s="51"/>
      <c r="T132" s="52" t="str">
        <f>"    "&amp;C132&amp;D132&amp;E132&amp;F132&amp;G132&amp;H132&amp;I132&amp;J132&amp;"    "&amp;L132&amp;$C$349</f>
        <v xml:space="preserve">    0x21,     /* Payload length bytes */    \</v>
      </c>
      <c r="U132" s="52"/>
      <c r="V132" s="52"/>
      <c r="W132" s="52"/>
      <c r="X132" s="52"/>
      <c r="Y132" s="52"/>
      <c r="Z132" s="52"/>
      <c r="AA132" s="52"/>
      <c r="AB132" s="86"/>
      <c r="AC132" s="86"/>
      <c r="AD132" s="86"/>
      <c r="AE132" s="86"/>
    </row>
    <row r="133" spans="2:31" ht="15" thickBot="1">
      <c r="B133" s="48" t="s">
        <v>658</v>
      </c>
      <c r="C133" s="138"/>
      <c r="D133" s="49"/>
      <c r="E133" s="49"/>
      <c r="F133" s="49"/>
      <c r="G133" s="49"/>
      <c r="H133" s="49"/>
      <c r="I133" s="49"/>
      <c r="J133" s="50"/>
      <c r="K133" s="49"/>
      <c r="L133" s="49"/>
      <c r="M133" s="49"/>
      <c r="N133" s="49"/>
      <c r="O133" s="49"/>
      <c r="P133" s="49"/>
      <c r="Q133" s="49"/>
      <c r="R133" s="50"/>
      <c r="S133" s="51"/>
      <c r="T133" s="52" t="str">
        <f>"    "&amp;C133&amp;D133&amp;E133&amp;F133&amp;G133&amp;H133&amp;I133&amp;J133&amp;"    "&amp;L133&amp;$C$349</f>
        <v xml:space="preserve">            \</v>
      </c>
      <c r="U133" s="52"/>
      <c r="V133" s="52"/>
      <c r="W133" s="52"/>
      <c r="X133" s="52"/>
      <c r="Y133" s="52"/>
      <c r="Z133" s="52"/>
      <c r="AA133" s="52"/>
      <c r="AB133" s="86"/>
      <c r="AC133" s="86"/>
      <c r="AD133" s="86"/>
      <c r="AE133" s="86"/>
    </row>
    <row r="134" spans="2:31" ht="15" thickBot="1">
      <c r="B134" s="48"/>
      <c r="C134" s="66" t="s">
        <v>659</v>
      </c>
      <c r="D134" s="49"/>
      <c r="E134" s="49"/>
      <c r="F134" s="49"/>
      <c r="G134" s="49"/>
      <c r="H134" s="49"/>
      <c r="I134" s="49"/>
      <c r="J134" s="50"/>
      <c r="K134" s="49"/>
      <c r="L134" s="49" t="str">
        <f>"/* ID length 1byte */"</f>
        <v>/* ID length 1byte */</v>
      </c>
      <c r="M134" s="49"/>
      <c r="N134" s="49"/>
      <c r="O134" s="49"/>
      <c r="P134" s="49"/>
      <c r="Q134" s="49"/>
      <c r="R134" s="50"/>
      <c r="S134" s="51"/>
      <c r="T134" s="52" t="str">
        <f>"    "&amp;C134&amp;D134&amp;E134&amp;F134&amp;G134&amp;H134&amp;I134&amp;J134&amp;"    "&amp;L134&amp;$C$349</f>
        <v xml:space="preserve">    0x01,     /* ID length 1byte */    \</v>
      </c>
      <c r="U134" s="52"/>
      <c r="V134" s="52"/>
      <c r="W134" s="52"/>
      <c r="X134" s="52"/>
      <c r="Y134" s="52"/>
      <c r="Z134" s="52"/>
      <c r="AA134" s="52"/>
      <c r="AB134" s="86"/>
      <c r="AC134" s="86"/>
      <c r="AD134" s="86"/>
      <c r="AE134" s="86"/>
    </row>
    <row r="135" spans="2:31" ht="15" thickBot="1">
      <c r="B135" s="48" t="s">
        <v>663</v>
      </c>
      <c r="C135" s="49"/>
      <c r="D135" s="49"/>
      <c r="E135" s="49"/>
      <c r="F135" s="49"/>
      <c r="G135" s="49"/>
      <c r="H135" s="49"/>
      <c r="I135" s="49"/>
      <c r="J135" s="50"/>
      <c r="K135" s="49"/>
      <c r="L135" s="49" t="s">
        <v>666</v>
      </c>
      <c r="M135" s="49"/>
      <c r="N135" s="49"/>
      <c r="O135" s="49"/>
      <c r="P135" s="49"/>
      <c r="Q135" s="49"/>
      <c r="R135" s="50"/>
      <c r="S135" s="51"/>
      <c r="T135" s="52" t="str">
        <f>C135&amp;D135&amp;E135&amp;F135&amp;G135&amp;H135&amp;I135&amp;J135&amp;"    "&amp;L135&amp;$C$349</f>
        <v xml:space="preserve">    /* Type Name: application/vnd.bluetooth.ep.oob */    \</v>
      </c>
      <c r="U135" s="52"/>
      <c r="V135" s="52"/>
      <c r="W135" s="52"/>
      <c r="X135" s="52"/>
      <c r="Y135" s="52"/>
      <c r="Z135" s="52"/>
      <c r="AA135" s="52"/>
      <c r="AB135" s="86"/>
      <c r="AC135" s="86"/>
      <c r="AD135" s="86"/>
      <c r="AE135" s="86"/>
    </row>
    <row r="136" spans="2:31">
      <c r="B136" s="48"/>
      <c r="C136" s="78" t="str">
        <f t="shared" ref="C136:J139" si="1">L264</f>
        <v xml:space="preserve">0x61, </v>
      </c>
      <c r="D136" s="79" t="str">
        <f t="shared" si="1"/>
        <v xml:space="preserve">0x70, </v>
      </c>
      <c r="E136" s="79" t="str">
        <f t="shared" si="1"/>
        <v xml:space="preserve">0x70, </v>
      </c>
      <c r="F136" s="79" t="str">
        <f t="shared" si="1"/>
        <v xml:space="preserve">0x6C, </v>
      </c>
      <c r="G136" s="79" t="str">
        <f t="shared" si="1"/>
        <v xml:space="preserve">0x69, </v>
      </c>
      <c r="H136" s="79" t="str">
        <f t="shared" si="1"/>
        <v xml:space="preserve">0x63, </v>
      </c>
      <c r="I136" s="79" t="str">
        <f t="shared" si="1"/>
        <v xml:space="preserve">0x61, </v>
      </c>
      <c r="J136" s="69" t="str">
        <f t="shared" si="1"/>
        <v xml:space="preserve">0x74, </v>
      </c>
      <c r="K136" s="49"/>
      <c r="L136" s="49"/>
      <c r="M136" s="49"/>
      <c r="N136" s="49"/>
      <c r="O136" s="49"/>
      <c r="P136" s="49"/>
      <c r="Q136" s="49"/>
      <c r="R136" s="50"/>
      <c r="S136" s="51"/>
      <c r="T136" s="52" t="str">
        <f t="shared" ref="T136:T142" si="2">"    "&amp;C136&amp;D136&amp;E136&amp;F136&amp;G136&amp;H136&amp;I136&amp;J136&amp;"    "&amp;L136&amp;$C$349</f>
        <v xml:space="preserve">    0x61, 0x70, 0x70, 0x6C, 0x69, 0x63, 0x61, 0x74,         \</v>
      </c>
      <c r="U136" s="52"/>
      <c r="V136" s="52"/>
      <c r="W136" s="52"/>
      <c r="X136" s="52"/>
      <c r="Y136" s="52"/>
      <c r="Z136" s="52"/>
      <c r="AA136" s="52"/>
      <c r="AB136" s="86"/>
      <c r="AC136" s="86"/>
      <c r="AD136" s="86"/>
      <c r="AE136" s="86"/>
    </row>
    <row r="137" spans="2:31">
      <c r="B137" s="48"/>
      <c r="C137" s="80" t="str">
        <f t="shared" si="1"/>
        <v xml:space="preserve">0x69, </v>
      </c>
      <c r="D137" s="81" t="str">
        <f t="shared" si="1"/>
        <v xml:space="preserve">0x6F, </v>
      </c>
      <c r="E137" s="81" t="str">
        <f t="shared" si="1"/>
        <v xml:space="preserve">0x6E, </v>
      </c>
      <c r="F137" s="81" t="str">
        <f t="shared" si="1"/>
        <v xml:space="preserve">0x2F, </v>
      </c>
      <c r="G137" s="81" t="str">
        <f t="shared" si="1"/>
        <v xml:space="preserve">0x76, </v>
      </c>
      <c r="H137" s="81" t="str">
        <f t="shared" si="1"/>
        <v xml:space="preserve">0x6E, </v>
      </c>
      <c r="I137" s="81" t="str">
        <f t="shared" si="1"/>
        <v xml:space="preserve">0x64, </v>
      </c>
      <c r="J137" s="82" t="str">
        <f t="shared" si="1"/>
        <v xml:space="preserve">0x2E, </v>
      </c>
      <c r="K137" s="49"/>
      <c r="L137" s="49"/>
      <c r="M137" s="49"/>
      <c r="N137" s="49"/>
      <c r="O137" s="49"/>
      <c r="P137" s="49"/>
      <c r="Q137" s="49"/>
      <c r="R137" s="50"/>
      <c r="S137" s="51"/>
      <c r="T137" s="52" t="str">
        <f t="shared" si="2"/>
        <v xml:space="preserve">    0x69, 0x6F, 0x6E, 0x2F, 0x76, 0x6E, 0x64, 0x2E,         \</v>
      </c>
      <c r="U137" s="52"/>
      <c r="V137" s="52"/>
      <c r="W137" s="52"/>
      <c r="X137" s="52"/>
      <c r="Y137" s="52"/>
      <c r="Z137" s="52"/>
      <c r="AA137" s="52"/>
      <c r="AB137" s="86"/>
      <c r="AC137" s="86"/>
      <c r="AD137" s="86"/>
      <c r="AE137" s="86"/>
    </row>
    <row r="138" spans="2:31">
      <c r="B138" s="48"/>
      <c r="C138" s="80" t="str">
        <f t="shared" si="1"/>
        <v xml:space="preserve">0x62, </v>
      </c>
      <c r="D138" s="81" t="str">
        <f t="shared" si="1"/>
        <v xml:space="preserve">0x6C, </v>
      </c>
      <c r="E138" s="81" t="str">
        <f t="shared" si="1"/>
        <v xml:space="preserve">0x75, </v>
      </c>
      <c r="F138" s="81" t="str">
        <f t="shared" si="1"/>
        <v xml:space="preserve">0x65, </v>
      </c>
      <c r="G138" s="81" t="str">
        <f t="shared" si="1"/>
        <v xml:space="preserve">0x74, </v>
      </c>
      <c r="H138" s="81" t="str">
        <f t="shared" si="1"/>
        <v xml:space="preserve">0x6F, </v>
      </c>
      <c r="I138" s="81" t="str">
        <f t="shared" si="1"/>
        <v xml:space="preserve">0x6F, </v>
      </c>
      <c r="J138" s="82" t="str">
        <f t="shared" si="1"/>
        <v xml:space="preserve">0x74, </v>
      </c>
      <c r="K138" s="49"/>
      <c r="L138" s="49"/>
      <c r="M138" s="49"/>
      <c r="N138" s="49"/>
      <c r="O138" s="49"/>
      <c r="P138" s="49"/>
      <c r="Q138" s="49"/>
      <c r="R138" s="50"/>
      <c r="S138" s="51"/>
      <c r="T138" s="52" t="str">
        <f t="shared" si="2"/>
        <v xml:space="preserve">    0x62, 0x6C, 0x75, 0x65, 0x74, 0x6F, 0x6F, 0x74,         \</v>
      </c>
      <c r="U138" s="52"/>
      <c r="V138" s="52"/>
      <c r="W138" s="52"/>
      <c r="X138" s="52"/>
      <c r="Y138" s="52"/>
      <c r="Z138" s="52"/>
      <c r="AA138" s="52"/>
      <c r="AB138" s="86"/>
      <c r="AC138" s="86"/>
      <c r="AD138" s="86"/>
      <c r="AE138" s="86"/>
    </row>
    <row r="139" spans="2:31" ht="15" thickBot="1">
      <c r="B139" s="48"/>
      <c r="C139" s="83" t="str">
        <f t="shared" si="1"/>
        <v xml:space="preserve">0x68, </v>
      </c>
      <c r="D139" s="84" t="str">
        <f t="shared" si="1"/>
        <v xml:space="preserve">0x2E, </v>
      </c>
      <c r="E139" s="84" t="str">
        <f t="shared" si="1"/>
        <v xml:space="preserve">0x65, </v>
      </c>
      <c r="F139" s="84" t="str">
        <f t="shared" si="1"/>
        <v xml:space="preserve">0x70, </v>
      </c>
      <c r="G139" s="84" t="str">
        <f t="shared" si="1"/>
        <v xml:space="preserve">0x2E, </v>
      </c>
      <c r="H139" s="84" t="str">
        <f t="shared" si="1"/>
        <v xml:space="preserve">0x6F, </v>
      </c>
      <c r="I139" s="84" t="str">
        <f t="shared" si="1"/>
        <v xml:space="preserve">0x6F, </v>
      </c>
      <c r="J139" s="85" t="str">
        <f t="shared" si="1"/>
        <v xml:space="preserve">0x62, </v>
      </c>
      <c r="K139" s="49"/>
      <c r="L139" s="49"/>
      <c r="M139" s="49"/>
      <c r="N139" s="49"/>
      <c r="O139" s="49"/>
      <c r="P139" s="49"/>
      <c r="Q139" s="49"/>
      <c r="R139" s="50"/>
      <c r="S139" s="51"/>
      <c r="T139" s="52" t="str">
        <f t="shared" si="2"/>
        <v xml:space="preserve">    0x68, 0x2E, 0x65, 0x70, 0x2E, 0x6F, 0x6F, 0x62,         \</v>
      </c>
      <c r="U139" s="52"/>
      <c r="V139" s="52"/>
      <c r="W139" s="52"/>
      <c r="X139" s="52"/>
      <c r="Y139" s="52"/>
      <c r="Z139" s="52"/>
      <c r="AA139" s="52"/>
      <c r="AB139" s="86"/>
      <c r="AC139" s="86"/>
      <c r="AD139" s="86"/>
      <c r="AE139" s="86"/>
    </row>
    <row r="140" spans="2:31" ht="15" thickBot="1">
      <c r="B140" s="48" t="s">
        <v>657</v>
      </c>
      <c r="C140" s="138"/>
      <c r="D140" s="49"/>
      <c r="E140" s="49"/>
      <c r="F140" s="49"/>
      <c r="G140" s="49"/>
      <c r="H140" s="49"/>
      <c r="I140" s="49"/>
      <c r="J140" s="50"/>
      <c r="K140" s="49"/>
      <c r="L140" s="49"/>
      <c r="M140" s="49"/>
      <c r="N140" s="49"/>
      <c r="O140" s="49"/>
      <c r="P140" s="49"/>
      <c r="Q140" s="49"/>
      <c r="R140" s="50"/>
      <c r="S140" s="51"/>
      <c r="T140" s="52" t="str">
        <f t="shared" si="2"/>
        <v xml:space="preserve">            \</v>
      </c>
      <c r="U140" s="52"/>
      <c r="V140" s="52"/>
      <c r="W140" s="52"/>
      <c r="X140" s="52"/>
      <c r="Y140" s="52"/>
      <c r="Z140" s="52"/>
      <c r="AA140" s="52"/>
      <c r="AB140" s="86"/>
      <c r="AC140" s="86"/>
      <c r="AD140" s="86"/>
      <c r="AE140" s="86"/>
    </row>
    <row r="141" spans="2:31" ht="15" thickBot="1">
      <c r="B141" s="57"/>
      <c r="C141" s="66" t="s">
        <v>660</v>
      </c>
      <c r="D141" s="62"/>
      <c r="E141" s="62"/>
      <c r="F141" s="62"/>
      <c r="G141" s="62"/>
      <c r="H141" s="62"/>
      <c r="I141" s="62"/>
      <c r="J141" s="61"/>
      <c r="K141" s="49"/>
      <c r="L141" s="49" t="str">
        <f>"/* ID : 0x01 */"</f>
        <v>/* ID : 0x01 */</v>
      </c>
      <c r="M141" s="49"/>
      <c r="N141" s="49"/>
      <c r="O141" s="49"/>
      <c r="P141" s="49"/>
      <c r="Q141" s="49"/>
      <c r="R141" s="50"/>
      <c r="S141" s="51"/>
      <c r="T141" s="52" t="str">
        <f t="shared" si="2"/>
        <v xml:space="preserve">    0x01,     /* ID : 0x01 */    \</v>
      </c>
      <c r="U141" s="52"/>
      <c r="V141" s="52"/>
      <c r="W141" s="52"/>
      <c r="X141" s="52"/>
      <c r="Y141" s="52"/>
      <c r="Z141" s="52"/>
      <c r="AA141" s="52"/>
      <c r="AB141" s="86"/>
      <c r="AC141" s="86"/>
      <c r="AD141" s="86"/>
      <c r="AE141" s="86"/>
    </row>
    <row r="142" spans="2:31" ht="15" thickBot="1">
      <c r="B142" s="48"/>
      <c r="C142" s="138"/>
      <c r="D142" s="49"/>
      <c r="E142" s="49"/>
      <c r="F142" s="49"/>
      <c r="G142" s="49"/>
      <c r="H142" s="49"/>
      <c r="I142" s="49"/>
      <c r="J142" s="50"/>
      <c r="K142" s="49"/>
      <c r="L142" s="49"/>
      <c r="M142" s="49"/>
      <c r="N142" s="49"/>
      <c r="O142" s="49"/>
      <c r="P142" s="49"/>
      <c r="Q142" s="49"/>
      <c r="R142" s="50"/>
      <c r="S142" s="51"/>
      <c r="T142" s="52" t="str">
        <f t="shared" si="2"/>
        <v xml:space="preserve">            \</v>
      </c>
      <c r="U142" s="52"/>
      <c r="V142" s="52"/>
      <c r="W142" s="52"/>
      <c r="X142" s="52"/>
      <c r="Y142" s="52"/>
      <c r="Z142" s="52"/>
      <c r="AA142" s="52"/>
      <c r="AB142" s="86"/>
      <c r="AC142" s="86"/>
      <c r="AD142" s="86"/>
      <c r="AE142" s="86"/>
    </row>
    <row r="143" spans="2:31">
      <c r="B143" s="54" t="s">
        <v>65</v>
      </c>
      <c r="C143" s="55"/>
      <c r="D143" s="55"/>
      <c r="E143" s="55"/>
      <c r="F143" s="55"/>
      <c r="G143" s="55"/>
      <c r="H143" s="55"/>
      <c r="I143" s="55"/>
      <c r="J143" s="56"/>
      <c r="K143" s="49"/>
      <c r="L143" s="49" t="s">
        <v>85</v>
      </c>
      <c r="M143" s="49"/>
      <c r="N143" s="49"/>
      <c r="O143" s="49"/>
      <c r="P143" s="49"/>
      <c r="Q143" s="49"/>
      <c r="R143" s="50"/>
      <c r="S143" s="51"/>
      <c r="T143" s="52" t="str">
        <f>C143&amp;D143&amp;E143&amp;F143&amp;G143&amp;H143&amp;I143&amp;J143&amp;"    "&amp;L143&amp;$C$349</f>
        <v xml:space="preserve">    /* Payload start */    \</v>
      </c>
      <c r="U143" s="52"/>
      <c r="V143" s="52"/>
      <c r="W143" s="52"/>
      <c r="X143" s="52"/>
      <c r="Y143" s="52"/>
      <c r="Z143" s="52"/>
      <c r="AA143" s="52"/>
      <c r="AB143" s="86"/>
      <c r="AC143" s="86"/>
      <c r="AD143" s="86"/>
      <c r="AE143" s="86"/>
    </row>
    <row r="144" spans="2:31" ht="15" thickBot="1">
      <c r="B144" s="48" t="s">
        <v>664</v>
      </c>
      <c r="C144" s="49"/>
      <c r="D144" s="49"/>
      <c r="E144" s="49"/>
      <c r="F144" s="49"/>
      <c r="G144" s="49"/>
      <c r="H144" s="49"/>
      <c r="I144" s="49"/>
      <c r="J144" s="50"/>
      <c r="K144" s="49"/>
      <c r="L144" s="49" t="s">
        <v>667</v>
      </c>
      <c r="M144" s="49"/>
      <c r="N144" s="49"/>
      <c r="O144" s="49"/>
      <c r="P144" s="49"/>
      <c r="Q144" s="49"/>
      <c r="R144" s="50"/>
      <c r="S144" s="51"/>
      <c r="T144" s="52" t="str">
        <f>C144&amp;D144&amp;E144&amp;F144&amp;G144&amp;H144&amp;I144&amp;J144&amp;"    "&amp;L144&amp;$C$349</f>
        <v xml:space="preserve">    /* Bluetooth OOB Data */    \</v>
      </c>
      <c r="U144" s="52"/>
      <c r="V144" s="52"/>
      <c r="W144" s="52"/>
      <c r="X144" s="52"/>
      <c r="Y144" s="52"/>
      <c r="Z144" s="52"/>
      <c r="AA144" s="52"/>
      <c r="AB144" s="86"/>
      <c r="AC144" s="86"/>
      <c r="AD144" s="86"/>
      <c r="AE144" s="86"/>
    </row>
    <row r="145" spans="2:31" ht="15" thickBot="1">
      <c r="B145" s="48"/>
      <c r="C145" s="58" t="str">
        <f>$H$331</f>
        <v xml:space="preserve">0x21, </v>
      </c>
      <c r="D145" s="60" t="s">
        <v>34</v>
      </c>
      <c r="E145" s="49"/>
      <c r="F145" s="49"/>
      <c r="G145" s="49"/>
      <c r="H145" s="49"/>
      <c r="I145" s="49"/>
      <c r="J145" s="50"/>
      <c r="K145" s="49"/>
      <c r="L145" s="49" t="s">
        <v>668</v>
      </c>
      <c r="M145" s="49"/>
      <c r="N145" s="49"/>
      <c r="O145" s="49"/>
      <c r="P145" s="49"/>
      <c r="Q145" s="49"/>
      <c r="R145" s="50"/>
      <c r="S145" s="51"/>
      <c r="T145" s="52" t="str">
        <f>"    "&amp;C145&amp;D145&amp;E145&amp;F145&amp;G145&amp;H145&amp;I145&amp;J145&amp;"    "&amp;L145&amp;$C$349</f>
        <v xml:space="preserve">    0x21, 0x00,    /* OOB Data Length */    \</v>
      </c>
      <c r="U145" s="52"/>
      <c r="V145" s="52"/>
      <c r="W145" s="52"/>
      <c r="X145" s="52"/>
      <c r="Y145" s="52"/>
      <c r="Z145" s="52"/>
      <c r="AA145" s="52"/>
      <c r="AB145" s="86"/>
      <c r="AC145" s="86"/>
      <c r="AD145" s="86"/>
      <c r="AE145" s="86"/>
    </row>
    <row r="146" spans="2:31" ht="15" thickBot="1">
      <c r="B146" s="48" t="s">
        <v>665</v>
      </c>
      <c r="C146" s="49"/>
      <c r="D146" s="49"/>
      <c r="E146" s="49"/>
      <c r="F146" s="49"/>
      <c r="G146" s="49"/>
      <c r="H146" s="49"/>
      <c r="I146" s="49"/>
      <c r="J146" s="50"/>
      <c r="K146" s="49"/>
      <c r="L146" s="49"/>
      <c r="M146" s="49"/>
      <c r="N146" s="49"/>
      <c r="O146" s="49"/>
      <c r="P146" s="49"/>
      <c r="Q146" s="49"/>
      <c r="R146" s="50"/>
      <c r="S146" s="51"/>
      <c r="T146" s="52" t="str">
        <f>"    "&amp;"    "&amp;$C$349</f>
        <v xml:space="preserve">            \</v>
      </c>
      <c r="U146" s="52"/>
      <c r="V146" s="52"/>
      <c r="W146" s="52"/>
      <c r="X146" s="52"/>
      <c r="Y146" s="52"/>
      <c r="Z146" s="52"/>
      <c r="AA146" s="52"/>
      <c r="AB146" s="86"/>
      <c r="AC146" s="86"/>
      <c r="AD146" s="86"/>
      <c r="AE146" s="86"/>
    </row>
    <row r="147" spans="2:31" ht="15" thickBot="1">
      <c r="B147" s="48"/>
      <c r="C147" s="64" t="str">
        <f>C256&amp;", "</f>
        <v xml:space="preserve">0x05, </v>
      </c>
      <c r="D147" s="139" t="str">
        <f>C255&amp;", "</f>
        <v xml:space="preserve">0x04, </v>
      </c>
      <c r="E147" s="139" t="str">
        <f>C254&amp;", "</f>
        <v xml:space="preserve">0x03, </v>
      </c>
      <c r="F147" s="139" t="str">
        <f>C253&amp;", "</f>
        <v xml:space="preserve">0x02, </v>
      </c>
      <c r="G147" s="139" t="str">
        <f>C252&amp;", "</f>
        <v xml:space="preserve">0x01, </v>
      </c>
      <c r="H147" s="65" t="str">
        <f>C251&amp;", "</f>
        <v xml:space="preserve">0x00, </v>
      </c>
      <c r="I147" s="138"/>
      <c r="J147" s="50"/>
      <c r="K147" s="49"/>
      <c r="L147" s="49" t="str">
        <f>"/* Device Address "&amp;F255&amp;" */"</f>
        <v>/* Device Address 00:01:02:03:04:05 */</v>
      </c>
      <c r="M147" s="49"/>
      <c r="N147" s="49"/>
      <c r="O147" s="49"/>
      <c r="P147" s="49"/>
      <c r="Q147" s="49"/>
      <c r="R147" s="50"/>
      <c r="S147" s="51"/>
      <c r="T147" s="52" t="str">
        <f>"    "&amp;C147&amp;D147&amp;E147&amp;F147&amp;G147&amp;H147&amp;I147&amp;J147&amp;"    "&amp;L147&amp;$C$349</f>
        <v xml:space="preserve">    0x05, 0x04, 0x03, 0x02, 0x01, 0x00,     /* Device Address 00:01:02:03:04:05 */    \</v>
      </c>
      <c r="U147" s="52"/>
      <c r="V147" s="52"/>
      <c r="W147" s="52"/>
      <c r="X147" s="52"/>
      <c r="Y147" s="52"/>
      <c r="Z147" s="52"/>
      <c r="AA147" s="52"/>
      <c r="AB147" s="86"/>
      <c r="AC147" s="86"/>
      <c r="AD147" s="86"/>
      <c r="AE147" s="86"/>
    </row>
    <row r="148" spans="2:31">
      <c r="B148" s="54" t="s">
        <v>672</v>
      </c>
      <c r="C148" s="55"/>
      <c r="D148" s="55"/>
      <c r="E148" s="55"/>
      <c r="F148" s="55"/>
      <c r="G148" s="55"/>
      <c r="H148" s="55"/>
      <c r="I148" s="55"/>
      <c r="J148" s="56"/>
      <c r="K148" s="49"/>
      <c r="L148" s="49"/>
      <c r="M148" s="49"/>
      <c r="N148" s="49"/>
      <c r="O148" s="49"/>
      <c r="P148" s="49"/>
      <c r="Q148" s="49"/>
      <c r="R148" s="50"/>
      <c r="S148" s="51"/>
      <c r="T148" s="52" t="str">
        <f>"    "&amp;"    "&amp;$C$349</f>
        <v xml:space="preserve">            \</v>
      </c>
      <c r="U148" s="52"/>
      <c r="V148" s="52"/>
      <c r="W148" s="52"/>
      <c r="X148" s="52"/>
      <c r="Y148" s="52"/>
      <c r="Z148" s="52"/>
      <c r="AA148" s="52"/>
      <c r="AB148" s="86"/>
      <c r="AC148" s="86"/>
      <c r="AD148" s="86"/>
      <c r="AE148" s="86"/>
    </row>
    <row r="149" spans="2:31" ht="15" thickBot="1">
      <c r="B149" s="48" t="s">
        <v>692</v>
      </c>
      <c r="C149" s="49"/>
      <c r="D149" s="49"/>
      <c r="E149" s="49"/>
      <c r="F149" s="49"/>
      <c r="G149" s="49"/>
      <c r="H149" s="49"/>
      <c r="I149" s="49"/>
      <c r="J149" s="50"/>
      <c r="K149" s="49"/>
      <c r="L149" s="49" t="str">
        <f>IF(M16="Yes","/* Local Name Field Start */","")</f>
        <v>/* Local Name Field Start */</v>
      </c>
      <c r="M149" s="49"/>
      <c r="N149" s="49"/>
      <c r="O149" s="49"/>
      <c r="P149" s="49"/>
      <c r="Q149" s="49"/>
      <c r="R149" s="50"/>
      <c r="S149" s="51"/>
      <c r="T149" s="52" t="str">
        <f>C149&amp;D149&amp;E149&amp;F149&amp;G149&amp;H149&amp;I149&amp;J149&amp;"    "&amp;L149&amp;$C$349</f>
        <v xml:space="preserve">    /* Local Name Field Start */    \</v>
      </c>
      <c r="U149" s="52"/>
      <c r="V149" s="52"/>
      <c r="W149" s="52"/>
      <c r="X149" s="52"/>
      <c r="Y149" s="52"/>
      <c r="Z149" s="52"/>
      <c r="AA149" s="52"/>
      <c r="AB149" s="86"/>
      <c r="AC149" s="86"/>
      <c r="AD149" s="86"/>
      <c r="AE149" s="86"/>
    </row>
    <row r="150" spans="2:31" ht="15" thickBot="1">
      <c r="B150" s="48"/>
      <c r="C150" s="66" t="str">
        <f>$I$275</f>
        <v xml:space="preserve">0x0D, </v>
      </c>
      <c r="D150" s="49"/>
      <c r="E150" s="49"/>
      <c r="F150" s="49"/>
      <c r="G150" s="49"/>
      <c r="H150" s="49"/>
      <c r="I150" s="49"/>
      <c r="J150" s="50"/>
      <c r="K150" s="49"/>
      <c r="L150" s="49" t="str">
        <f>IF(M16="Yes","/* Local Name Length: "&amp;E275&amp;"bytes plus Data Type 1byte */","")</f>
        <v>/* Local Name Length: 12bytes plus Data Type 1byte */</v>
      </c>
      <c r="M150" s="49"/>
      <c r="N150" s="49"/>
      <c r="O150" s="49"/>
      <c r="P150" s="49"/>
      <c r="Q150" s="49"/>
      <c r="R150" s="50"/>
      <c r="S150" s="51"/>
      <c r="T150" s="52" t="str">
        <f t="shared" ref="T150:T158" si="3">"    "&amp;C150&amp;D150&amp;E150&amp;F150&amp;G150&amp;H150&amp;I150&amp;J150&amp;"    "&amp;L150&amp;$C$349</f>
        <v xml:space="preserve">    0x0D,     /* Local Name Length: 12bytes plus Data Type 1byte */    \</v>
      </c>
      <c r="U150" s="52"/>
      <c r="V150" s="52"/>
      <c r="W150" s="52"/>
      <c r="X150" s="52"/>
      <c r="Y150" s="52"/>
      <c r="Z150" s="52"/>
      <c r="AA150" s="52"/>
      <c r="AB150" s="86"/>
      <c r="AC150" s="86"/>
      <c r="AD150" s="86"/>
      <c r="AE150" s="86"/>
    </row>
    <row r="151" spans="2:31" ht="15" thickBot="1">
      <c r="B151" s="48" t="s">
        <v>671</v>
      </c>
      <c r="C151" s="49"/>
      <c r="D151" s="49"/>
      <c r="E151" s="49"/>
      <c r="F151" s="49"/>
      <c r="G151" s="49"/>
      <c r="H151" s="49"/>
      <c r="I151" s="49"/>
      <c r="J151" s="50"/>
      <c r="K151" s="49"/>
      <c r="L151" s="49"/>
      <c r="M151" s="49"/>
      <c r="N151" s="49"/>
      <c r="O151" s="49"/>
      <c r="P151" s="49"/>
      <c r="Q151" s="49"/>
      <c r="R151" s="50"/>
      <c r="S151" s="51"/>
      <c r="T151" s="52" t="str">
        <f t="shared" si="3"/>
        <v xml:space="preserve">            \</v>
      </c>
      <c r="U151" s="52"/>
      <c r="V151" s="52"/>
      <c r="W151" s="52"/>
      <c r="X151" s="52"/>
      <c r="Y151" s="52"/>
      <c r="Z151" s="52"/>
      <c r="AA151" s="52"/>
      <c r="AB151" s="86"/>
      <c r="AC151" s="86"/>
      <c r="AD151" s="86"/>
      <c r="AE151" s="86"/>
    </row>
    <row r="152" spans="2:31" ht="15" thickBot="1">
      <c r="B152" s="48"/>
      <c r="C152" s="66" t="str">
        <f>$O$275</f>
        <v xml:space="preserve">0x09, </v>
      </c>
      <c r="D152" s="49"/>
      <c r="E152" s="49"/>
      <c r="F152" s="49"/>
      <c r="G152" s="49"/>
      <c r="H152" s="49"/>
      <c r="I152" s="49"/>
      <c r="J152" s="50"/>
      <c r="K152" s="49"/>
      <c r="L152" s="49" t="str">
        <f>IF(M16="Yes","/* EIR Data Type: Local Name 0x09 */","")</f>
        <v>/* EIR Data Type: Local Name 0x09 */</v>
      </c>
      <c r="M152" s="49"/>
      <c r="N152" s="49"/>
      <c r="O152" s="49"/>
      <c r="P152" s="49"/>
      <c r="Q152" s="49"/>
      <c r="R152" s="50"/>
      <c r="S152" s="51"/>
      <c r="T152" s="52" t="str">
        <f t="shared" si="3"/>
        <v xml:space="preserve">    0x09,     /* EIR Data Type: Local Name 0x09 */    \</v>
      </c>
      <c r="U152" s="52"/>
      <c r="V152" s="52"/>
      <c r="W152" s="52"/>
      <c r="X152" s="52"/>
      <c r="Y152" s="52"/>
      <c r="Z152" s="52"/>
      <c r="AA152" s="52"/>
      <c r="AB152" s="86"/>
      <c r="AC152" s="86"/>
      <c r="AD152" s="86"/>
      <c r="AE152" s="86"/>
    </row>
    <row r="153" spans="2:31" ht="15" thickBot="1">
      <c r="B153" s="48" t="s">
        <v>669</v>
      </c>
      <c r="C153" s="49"/>
      <c r="D153" s="49"/>
      <c r="E153" s="49"/>
      <c r="F153" s="49"/>
      <c r="G153" s="49"/>
      <c r="H153" s="49"/>
      <c r="I153" s="49"/>
      <c r="J153" s="50"/>
      <c r="K153" s="49"/>
      <c r="L153" s="49" t="str">
        <f>IF(M16="Yes","/* Local Name "&amp;C269&amp;" */","")</f>
        <v>/* Local Name HeadSet Name */</v>
      </c>
      <c r="M153" s="49"/>
      <c r="N153" s="49"/>
      <c r="O153" s="49"/>
      <c r="P153" s="49"/>
      <c r="Q153" s="49"/>
      <c r="R153" s="50"/>
      <c r="S153" s="51"/>
      <c r="T153" s="52" t="str">
        <f t="shared" si="3"/>
        <v xml:space="preserve">        /* Local Name HeadSet Name */    \</v>
      </c>
      <c r="U153" s="52"/>
      <c r="V153" s="52"/>
      <c r="W153" s="52"/>
      <c r="X153" s="52"/>
      <c r="Y153" s="52"/>
      <c r="Z153" s="52"/>
      <c r="AA153" s="52"/>
      <c r="AB153" s="86"/>
      <c r="AC153" s="86"/>
      <c r="AD153" s="86"/>
      <c r="AE153" s="86"/>
    </row>
    <row r="154" spans="2:31">
      <c r="B154" s="48"/>
      <c r="C154" s="78" t="str">
        <f t="shared" ref="C154:J157" si="4">U270</f>
        <v xml:space="preserve">0x48, </v>
      </c>
      <c r="D154" s="79" t="str">
        <f t="shared" si="4"/>
        <v xml:space="preserve">0x65, </v>
      </c>
      <c r="E154" s="79" t="str">
        <f t="shared" si="4"/>
        <v xml:space="preserve">0x61, </v>
      </c>
      <c r="F154" s="79" t="str">
        <f t="shared" si="4"/>
        <v xml:space="preserve">0x64, </v>
      </c>
      <c r="G154" s="79" t="str">
        <f t="shared" si="4"/>
        <v xml:space="preserve">0x53, </v>
      </c>
      <c r="H154" s="79" t="str">
        <f t="shared" si="4"/>
        <v xml:space="preserve">0x65, </v>
      </c>
      <c r="I154" s="79" t="str">
        <f t="shared" si="4"/>
        <v xml:space="preserve">0x74, </v>
      </c>
      <c r="J154" s="69" t="str">
        <f t="shared" si="4"/>
        <v xml:space="preserve">0x20, </v>
      </c>
      <c r="K154" s="49"/>
      <c r="L154" s="49"/>
      <c r="M154" s="49"/>
      <c r="N154" s="49"/>
      <c r="O154" s="49"/>
      <c r="P154" s="49"/>
      <c r="Q154" s="49"/>
      <c r="R154" s="50"/>
      <c r="S154" s="51"/>
      <c r="T154" s="52" t="str">
        <f t="shared" si="3"/>
        <v xml:space="preserve">    0x48, 0x65, 0x61, 0x64, 0x53, 0x65, 0x74, 0x20,         \</v>
      </c>
      <c r="U154" s="52"/>
      <c r="V154" s="52"/>
      <c r="W154" s="52"/>
      <c r="X154" s="52"/>
      <c r="Y154" s="52"/>
      <c r="Z154" s="52"/>
      <c r="AA154" s="52"/>
      <c r="AB154" s="86"/>
      <c r="AC154" s="86"/>
      <c r="AD154" s="86"/>
      <c r="AE154" s="86"/>
    </row>
    <row r="155" spans="2:31">
      <c r="B155" s="48"/>
      <c r="C155" s="80" t="str">
        <f t="shared" si="4"/>
        <v xml:space="preserve">0x4E, </v>
      </c>
      <c r="D155" s="81" t="str">
        <f t="shared" si="4"/>
        <v xml:space="preserve">0x61, </v>
      </c>
      <c r="E155" s="81" t="str">
        <f t="shared" si="4"/>
        <v xml:space="preserve">0x6D, </v>
      </c>
      <c r="F155" s="81" t="str">
        <f t="shared" si="4"/>
        <v xml:space="preserve">0x65, </v>
      </c>
      <c r="G155" s="81" t="str">
        <f t="shared" si="4"/>
        <v/>
      </c>
      <c r="H155" s="81" t="str">
        <f t="shared" si="4"/>
        <v/>
      </c>
      <c r="I155" s="81" t="str">
        <f t="shared" si="4"/>
        <v/>
      </c>
      <c r="J155" s="82" t="str">
        <f t="shared" si="4"/>
        <v/>
      </c>
      <c r="K155" s="49"/>
      <c r="L155" s="49"/>
      <c r="M155" s="49"/>
      <c r="N155" s="49"/>
      <c r="O155" s="49"/>
      <c r="P155" s="49"/>
      <c r="Q155" s="49"/>
      <c r="R155" s="50"/>
      <c r="S155" s="51"/>
      <c r="T155" s="52" t="str">
        <f t="shared" si="3"/>
        <v xml:space="preserve">    0x4E, 0x61, 0x6D, 0x65,         \</v>
      </c>
      <c r="U155" s="52"/>
      <c r="V155" s="52"/>
      <c r="W155" s="52"/>
      <c r="X155" s="52"/>
      <c r="Y155" s="52"/>
      <c r="Z155" s="52"/>
      <c r="AA155" s="52"/>
      <c r="AB155" s="86"/>
      <c r="AC155" s="86"/>
      <c r="AD155" s="86"/>
      <c r="AE155" s="86"/>
    </row>
    <row r="156" spans="2:31">
      <c r="B156" s="48"/>
      <c r="C156" s="80" t="str">
        <f t="shared" si="4"/>
        <v/>
      </c>
      <c r="D156" s="81" t="str">
        <f t="shared" si="4"/>
        <v/>
      </c>
      <c r="E156" s="81" t="str">
        <f t="shared" si="4"/>
        <v/>
      </c>
      <c r="F156" s="81" t="str">
        <f t="shared" si="4"/>
        <v/>
      </c>
      <c r="G156" s="81" t="str">
        <f t="shared" si="4"/>
        <v/>
      </c>
      <c r="H156" s="81" t="str">
        <f t="shared" si="4"/>
        <v/>
      </c>
      <c r="I156" s="81" t="str">
        <f t="shared" si="4"/>
        <v/>
      </c>
      <c r="J156" s="82" t="str">
        <f t="shared" si="4"/>
        <v/>
      </c>
      <c r="K156" s="49"/>
      <c r="L156" s="49"/>
      <c r="M156" s="49"/>
      <c r="N156" s="49"/>
      <c r="O156" s="49"/>
      <c r="P156" s="49"/>
      <c r="Q156" s="49"/>
      <c r="R156" s="50"/>
      <c r="S156" s="51"/>
      <c r="T156" s="52" t="str">
        <f t="shared" si="3"/>
        <v xml:space="preserve">            \</v>
      </c>
      <c r="U156" s="52"/>
      <c r="V156" s="52"/>
      <c r="W156" s="52"/>
      <c r="X156" s="52"/>
      <c r="Y156" s="52"/>
      <c r="Z156" s="52"/>
      <c r="AA156" s="52"/>
      <c r="AB156" s="86"/>
      <c r="AC156" s="86"/>
      <c r="AD156" s="86"/>
      <c r="AE156" s="86"/>
    </row>
    <row r="157" spans="2:31" ht="15" thickBot="1">
      <c r="B157" s="57"/>
      <c r="C157" s="83" t="str">
        <f t="shared" si="4"/>
        <v/>
      </c>
      <c r="D157" s="84" t="str">
        <f t="shared" si="4"/>
        <v/>
      </c>
      <c r="E157" s="84" t="str">
        <f t="shared" si="4"/>
        <v/>
      </c>
      <c r="F157" s="84" t="str">
        <f t="shared" si="4"/>
        <v/>
      </c>
      <c r="G157" s="84" t="str">
        <f t="shared" si="4"/>
        <v/>
      </c>
      <c r="H157" s="84" t="str">
        <f t="shared" si="4"/>
        <v/>
      </c>
      <c r="I157" s="84" t="str">
        <f t="shared" si="4"/>
        <v/>
      </c>
      <c r="J157" s="85" t="str">
        <f t="shared" si="4"/>
        <v/>
      </c>
      <c r="K157" s="49"/>
      <c r="L157" s="49"/>
      <c r="M157" s="49"/>
      <c r="N157" s="49"/>
      <c r="O157" s="49"/>
      <c r="P157" s="49"/>
      <c r="Q157" s="49"/>
      <c r="R157" s="50"/>
      <c r="S157" s="51"/>
      <c r="T157" s="52" t="str">
        <f t="shared" si="3"/>
        <v xml:space="preserve">            \</v>
      </c>
      <c r="U157" s="52"/>
      <c r="V157" s="52"/>
      <c r="W157" s="52"/>
      <c r="X157" s="52"/>
      <c r="Y157" s="52"/>
      <c r="Z157" s="52"/>
      <c r="AA157" s="52"/>
      <c r="AB157" s="86"/>
      <c r="AC157" s="86"/>
      <c r="AD157" s="86"/>
      <c r="AE157" s="86"/>
    </row>
    <row r="158" spans="2:31">
      <c r="B158" s="54" t="s">
        <v>677</v>
      </c>
      <c r="C158" s="55"/>
      <c r="D158" s="55"/>
      <c r="E158" s="55"/>
      <c r="F158" s="55"/>
      <c r="G158" s="55"/>
      <c r="H158" s="55"/>
      <c r="I158" s="55"/>
      <c r="J158" s="56"/>
      <c r="K158" s="49"/>
      <c r="M158" s="49"/>
      <c r="N158" s="49"/>
      <c r="O158" s="49"/>
      <c r="P158" s="49"/>
      <c r="Q158" s="49"/>
      <c r="R158" s="50"/>
      <c r="S158" s="51"/>
      <c r="T158" s="52" t="str">
        <f t="shared" si="3"/>
        <v xml:space="preserve">            \</v>
      </c>
      <c r="U158" s="52"/>
      <c r="V158" s="52"/>
      <c r="W158" s="52"/>
      <c r="X158" s="52"/>
      <c r="Y158" s="52"/>
      <c r="Z158" s="52"/>
      <c r="AA158" s="52"/>
      <c r="AB158" s="86"/>
      <c r="AC158" s="86"/>
      <c r="AD158" s="86"/>
      <c r="AE158" s="86"/>
    </row>
    <row r="159" spans="2:31" ht="15" thickBot="1">
      <c r="B159" s="48" t="s">
        <v>691</v>
      </c>
      <c r="C159" s="49"/>
      <c r="D159" s="49"/>
      <c r="E159" s="49"/>
      <c r="F159" s="49"/>
      <c r="G159" s="49"/>
      <c r="H159" s="49"/>
      <c r="I159" s="49"/>
      <c r="J159" s="50"/>
      <c r="K159" s="49"/>
      <c r="L159" s="49" t="str">
        <f>IF(M26="Yes","/* Class of Device Field Start */","")</f>
        <v>/* Class of Device Field Start */</v>
      </c>
      <c r="M159" s="49"/>
      <c r="N159" s="49"/>
      <c r="O159" s="49"/>
      <c r="P159" s="49"/>
      <c r="Q159" s="49"/>
      <c r="R159" s="50"/>
      <c r="S159" s="51"/>
      <c r="T159" s="52" t="str">
        <f>C159&amp;D159&amp;E159&amp;F159&amp;G159&amp;H159&amp;I159&amp;J159&amp;"    "&amp;L159&amp;$C$349</f>
        <v xml:space="preserve">    /* Class of Device Field Start */    \</v>
      </c>
      <c r="U159" s="52"/>
      <c r="V159" s="52"/>
      <c r="W159" s="52"/>
      <c r="X159" s="52"/>
      <c r="Y159" s="52"/>
      <c r="Z159" s="52"/>
      <c r="AA159" s="52"/>
      <c r="AB159" s="86"/>
      <c r="AC159" s="86"/>
      <c r="AD159" s="86"/>
      <c r="AE159" s="86"/>
    </row>
    <row r="160" spans="2:31" ht="15" thickBot="1">
      <c r="B160" s="48"/>
      <c r="C160" s="66" t="str">
        <f>$G$284</f>
        <v xml:space="preserve">0x04, </v>
      </c>
      <c r="D160" s="49"/>
      <c r="E160" s="49"/>
      <c r="F160" s="49"/>
      <c r="G160" s="49"/>
      <c r="H160" s="49"/>
      <c r="I160" s="49"/>
      <c r="J160" s="50"/>
      <c r="K160" s="49"/>
      <c r="L160" s="49" t="str">
        <f>IF(M26="Yes","/* Class of Device Length 3bytes plus Data Type 1byte */","")</f>
        <v>/* Class of Device Length 3bytes plus Data Type 1byte */</v>
      </c>
      <c r="M160" s="49"/>
      <c r="N160" s="49"/>
      <c r="O160" s="49"/>
      <c r="P160" s="49"/>
      <c r="Q160" s="49"/>
      <c r="R160" s="50"/>
      <c r="S160" s="51"/>
      <c r="T160" s="52" t="str">
        <f>"    "&amp;C160&amp;D160&amp;E160&amp;F160&amp;G160&amp;H160&amp;I160&amp;J160&amp;"    "&amp;L160&amp;$C$349</f>
        <v xml:space="preserve">    0x04,     /* Class of Device Length 3bytes plus Data Type 1byte */    \</v>
      </c>
      <c r="U160" s="52"/>
      <c r="V160" s="52"/>
      <c r="W160" s="52"/>
      <c r="X160" s="52"/>
      <c r="Y160" s="52"/>
      <c r="Z160" s="52"/>
      <c r="AA160" s="52"/>
      <c r="AB160" s="86"/>
      <c r="AC160" s="86"/>
      <c r="AD160" s="86"/>
      <c r="AE160" s="86"/>
    </row>
    <row r="161" spans="2:31" ht="15" thickBot="1">
      <c r="B161" s="48" t="s">
        <v>678</v>
      </c>
      <c r="C161" s="49"/>
      <c r="D161" s="49"/>
      <c r="E161" s="49"/>
      <c r="F161" s="49"/>
      <c r="G161" s="49"/>
      <c r="H161" s="49"/>
      <c r="I161" s="49"/>
      <c r="J161" s="50"/>
      <c r="K161" s="49"/>
      <c r="L161" s="49"/>
      <c r="M161" s="49"/>
      <c r="N161" s="49"/>
      <c r="O161" s="49"/>
      <c r="P161" s="49"/>
      <c r="Q161" s="49"/>
      <c r="R161" s="50"/>
      <c r="S161" s="51"/>
      <c r="T161" s="52" t="str">
        <f>"    "&amp;C161&amp;D161&amp;E161&amp;F161&amp;G161&amp;H161&amp;I161&amp;J161&amp;"    "&amp;L161&amp;$C$349</f>
        <v xml:space="preserve">            \</v>
      </c>
      <c r="U161" s="52"/>
      <c r="V161" s="52"/>
      <c r="W161" s="52"/>
      <c r="X161" s="52"/>
      <c r="Y161" s="52"/>
      <c r="Z161" s="52"/>
      <c r="AA161" s="52"/>
      <c r="AB161" s="86"/>
      <c r="AC161" s="86"/>
      <c r="AD161" s="86"/>
      <c r="AE161" s="86"/>
    </row>
    <row r="162" spans="2:31" ht="15" thickBot="1">
      <c r="B162" s="48"/>
      <c r="C162" s="66" t="str">
        <f>$G$286</f>
        <v xml:space="preserve">0x0D, </v>
      </c>
      <c r="D162" s="49"/>
      <c r="E162" s="49"/>
      <c r="F162" s="49"/>
      <c r="G162" s="49"/>
      <c r="H162" s="49"/>
      <c r="I162" s="49"/>
      <c r="J162" s="50"/>
      <c r="K162" s="49"/>
      <c r="L162" s="49" t="str">
        <f>IF(M26="Yes","/* EIR Data Type : Class of Device 0x0D */","")</f>
        <v>/* EIR Data Type : Class of Device 0x0D */</v>
      </c>
      <c r="M162" s="49"/>
      <c r="N162" s="49"/>
      <c r="O162" s="49"/>
      <c r="P162" s="49"/>
      <c r="Q162" s="49"/>
      <c r="R162" s="50"/>
      <c r="S162" s="51"/>
      <c r="T162" s="52" t="str">
        <f>"    "&amp;C162&amp;D162&amp;E162&amp;F162&amp;G162&amp;H162&amp;I162&amp;J162&amp;"    "&amp;L162&amp;$C$349</f>
        <v xml:space="preserve">    0x0D,     /* EIR Data Type : Class of Device 0x0D */    \</v>
      </c>
      <c r="U162" s="52"/>
      <c r="V162" s="52"/>
      <c r="W162" s="52"/>
      <c r="X162" s="52"/>
      <c r="Y162" s="52"/>
      <c r="Z162" s="52"/>
      <c r="AA162" s="52"/>
      <c r="AB162" s="86"/>
      <c r="AC162" s="86"/>
      <c r="AD162" s="86"/>
      <c r="AE162" s="86"/>
    </row>
    <row r="163" spans="2:31">
      <c r="B163" s="48" t="s">
        <v>679</v>
      </c>
      <c r="C163" s="49"/>
      <c r="D163" s="49"/>
      <c r="E163" s="49"/>
      <c r="F163" s="49"/>
      <c r="G163" s="49"/>
      <c r="H163" s="49"/>
      <c r="I163" s="49"/>
      <c r="J163" s="50"/>
      <c r="K163" s="49"/>
      <c r="L163" s="49" t="str">
        <f>IF(M26="Yes","/* Class of Device, Service Class : "&amp;G31&amp;" */","")</f>
        <v>/* Class of Device, Service Class : Audio */</v>
      </c>
      <c r="M163" s="49"/>
      <c r="N163" s="49"/>
      <c r="O163" s="49"/>
      <c r="P163" s="49"/>
      <c r="Q163" s="49"/>
      <c r="R163" s="50"/>
      <c r="S163" s="51"/>
      <c r="T163" s="52" t="str">
        <f>C163&amp;D163&amp;E163&amp;F163&amp;G163&amp;H163&amp;I163&amp;J163&amp;"    "&amp;L163&amp;$C$349</f>
        <v xml:space="preserve">    /* Class of Device, Service Class : Audio */    \</v>
      </c>
      <c r="U163" s="52"/>
      <c r="V163" s="52"/>
      <c r="W163" s="52"/>
      <c r="X163" s="52"/>
      <c r="Y163" s="52"/>
      <c r="Z163" s="52"/>
      <c r="AA163" s="52"/>
      <c r="AB163" s="86"/>
      <c r="AC163" s="86"/>
      <c r="AD163" s="86"/>
      <c r="AE163" s="86"/>
    </row>
    <row r="164" spans="2:31">
      <c r="B164" s="48"/>
      <c r="C164" s="49"/>
      <c r="D164" s="49"/>
      <c r="E164" s="49"/>
      <c r="F164" s="49"/>
      <c r="G164" s="49"/>
      <c r="H164" s="49"/>
      <c r="I164" s="49"/>
      <c r="J164" s="50"/>
      <c r="K164" s="49"/>
      <c r="L164" s="49" t="str">
        <f>IF(M26="Yes","/* Major Class : "&amp;G34&amp;" */","")</f>
        <v>/* Major Class : Audio/Video */</v>
      </c>
      <c r="M164" s="49"/>
      <c r="N164" s="49"/>
      <c r="O164" s="49"/>
      <c r="P164" s="49"/>
      <c r="Q164" s="49"/>
      <c r="R164" s="50"/>
      <c r="S164" s="51"/>
      <c r="T164" s="52" t="str">
        <f>C164&amp;D164&amp;E164&amp;F164&amp;G164&amp;H164&amp;I164&amp;J164&amp;"    "&amp;L164&amp;$C$349</f>
        <v xml:space="preserve">    /* Major Class : Audio/Video */    \</v>
      </c>
      <c r="U164" s="52"/>
      <c r="V164" s="52"/>
      <c r="W164" s="52"/>
      <c r="X164" s="52"/>
      <c r="Y164" s="52"/>
      <c r="Z164" s="52"/>
      <c r="AA164" s="52"/>
      <c r="AB164" s="86"/>
      <c r="AC164" s="86"/>
      <c r="AD164" s="86"/>
      <c r="AE164" s="86"/>
    </row>
    <row r="165" spans="2:31" ht="15" thickBot="1">
      <c r="B165" s="48"/>
      <c r="C165" s="49"/>
      <c r="D165" s="49"/>
      <c r="E165" s="49"/>
      <c r="F165" s="49"/>
      <c r="G165" s="49"/>
      <c r="H165" s="49"/>
      <c r="I165" s="49"/>
      <c r="J165" s="50"/>
      <c r="K165" s="49"/>
      <c r="L165" s="49" t="str">
        <f>IF(M26="Yes","/* Mainor Class : "&amp;G37&amp;" */","")</f>
        <v>/* Mainor Class : Headset */</v>
      </c>
      <c r="M165" s="49"/>
      <c r="N165" s="49"/>
      <c r="O165" s="49"/>
      <c r="P165" s="49"/>
      <c r="Q165" s="49"/>
      <c r="R165" s="50"/>
      <c r="S165" s="51"/>
      <c r="T165" s="52" t="str">
        <f>C165&amp;D165&amp;E165&amp;F165&amp;G165&amp;H165&amp;I165&amp;J165&amp;"    "&amp;L165&amp;$C$349</f>
        <v xml:space="preserve">    /* Mainor Class : Headset */    \</v>
      </c>
      <c r="U165" s="52"/>
      <c r="V165" s="52"/>
      <c r="W165" s="52"/>
      <c r="X165" s="52"/>
      <c r="Y165" s="52"/>
      <c r="Z165" s="52"/>
      <c r="AA165" s="52"/>
      <c r="AB165" s="86"/>
      <c r="AC165" s="86"/>
      <c r="AD165" s="86"/>
      <c r="AE165" s="86"/>
    </row>
    <row r="166" spans="2:31" ht="15" thickBot="1">
      <c r="B166" s="57"/>
      <c r="C166" s="58" t="str">
        <f t="shared" ref="C166:E166" si="5">G282</f>
        <v xml:space="preserve">0x04, </v>
      </c>
      <c r="D166" s="59" t="str">
        <f t="shared" si="5"/>
        <v xml:space="preserve">0x04, </v>
      </c>
      <c r="E166" s="60" t="str">
        <f t="shared" si="5"/>
        <v xml:space="preserve">0x20, </v>
      </c>
      <c r="F166" s="62"/>
      <c r="G166" s="62"/>
      <c r="H166" s="62"/>
      <c r="I166" s="62"/>
      <c r="J166" s="61"/>
      <c r="K166" s="49"/>
      <c r="L166" s="49"/>
      <c r="M166" s="49"/>
      <c r="N166" s="49"/>
      <c r="O166" s="49"/>
      <c r="P166" s="49"/>
      <c r="Q166" s="49"/>
      <c r="R166" s="50"/>
      <c r="S166" s="51"/>
      <c r="T166" s="52" t="str">
        <f>"    "&amp;C166&amp;D166&amp;E166&amp;F166&amp;G166&amp;H166&amp;I166&amp;J166&amp;"    "&amp;L166&amp;$C$349</f>
        <v xml:space="preserve">    0x04, 0x04, 0x20,         \</v>
      </c>
      <c r="U166" s="52"/>
      <c r="V166" s="52"/>
      <c r="W166" s="52"/>
      <c r="X166" s="52"/>
      <c r="Y166" s="52"/>
      <c r="Z166" s="52"/>
      <c r="AA166" s="52"/>
      <c r="AB166" s="86"/>
      <c r="AC166" s="86"/>
      <c r="AD166" s="86"/>
      <c r="AE166" s="86"/>
    </row>
    <row r="167" spans="2:31">
      <c r="B167" s="54" t="s">
        <v>689</v>
      </c>
      <c r="C167" s="55"/>
      <c r="D167" s="55"/>
      <c r="E167" s="55"/>
      <c r="F167" s="55"/>
      <c r="G167" s="55"/>
      <c r="H167" s="55"/>
      <c r="I167" s="55"/>
      <c r="J167" s="56"/>
      <c r="K167" s="49"/>
      <c r="L167" s="49"/>
      <c r="M167" s="49"/>
      <c r="N167" s="49"/>
      <c r="O167" s="49"/>
      <c r="P167" s="49"/>
      <c r="Q167" s="49"/>
      <c r="R167" s="50"/>
      <c r="S167" s="51"/>
      <c r="T167" s="52" t="str">
        <f>"    "&amp;C167&amp;D167&amp;E167&amp;F167&amp;G167&amp;H167&amp;I167&amp;J167&amp;"    "&amp;L167&amp;$C$349</f>
        <v xml:space="preserve">            \</v>
      </c>
      <c r="U167" s="52"/>
      <c r="V167" s="52"/>
      <c r="W167" s="52"/>
      <c r="X167" s="52"/>
      <c r="Y167" s="52"/>
      <c r="Z167" s="52"/>
      <c r="AA167" s="52"/>
      <c r="AB167" s="86"/>
      <c r="AC167" s="86"/>
      <c r="AD167" s="86"/>
      <c r="AE167" s="86"/>
    </row>
    <row r="168" spans="2:31" ht="15" thickBot="1">
      <c r="B168" s="48" t="s">
        <v>690</v>
      </c>
      <c r="C168" s="49"/>
      <c r="D168" s="49"/>
      <c r="E168" s="49"/>
      <c r="F168" s="49"/>
      <c r="G168" s="49"/>
      <c r="H168" s="49"/>
      <c r="I168" s="49"/>
      <c r="J168" s="50"/>
      <c r="K168" s="49"/>
      <c r="L168" s="49" t="str">
        <f>IF(M46&gt;0,"/* UUID Field Start */","")</f>
        <v>/* UUID Field Start */</v>
      </c>
      <c r="M168" s="49"/>
      <c r="N168" s="49"/>
      <c r="O168" s="49"/>
      <c r="P168" s="49"/>
      <c r="Q168" s="49"/>
      <c r="R168" s="50"/>
      <c r="S168" s="51"/>
      <c r="T168" s="52" t="str">
        <f>C168&amp;D168&amp;E168&amp;F168&amp;G168&amp;H168&amp;I168&amp;J168&amp;"    "&amp;L168&amp;$C$349</f>
        <v xml:space="preserve">    /* UUID Field Start */    \</v>
      </c>
      <c r="U168" s="52"/>
      <c r="V168" s="52"/>
      <c r="W168" s="52"/>
      <c r="X168" s="52"/>
      <c r="Y168" s="52"/>
      <c r="Z168" s="52"/>
      <c r="AA168" s="52"/>
      <c r="AB168" s="86"/>
      <c r="AC168" s="86"/>
      <c r="AD168" s="86"/>
      <c r="AE168" s="86"/>
    </row>
    <row r="169" spans="2:31" ht="15" thickBot="1">
      <c r="B169" s="48"/>
      <c r="C169" s="66" t="str">
        <f>$G$291</f>
        <v xml:space="preserve">0x05, </v>
      </c>
      <c r="D169" s="49"/>
      <c r="E169" s="49"/>
      <c r="F169" s="49"/>
      <c r="G169" s="49"/>
      <c r="H169" s="49"/>
      <c r="I169" s="49"/>
      <c r="J169" s="50"/>
      <c r="K169" s="49"/>
      <c r="L169" s="49" t="str">
        <f>IF(M46&gt;0,"/* UUID Field Length "&amp;E291&amp;"bytes */","")</f>
        <v>/* UUID Field Length 5bytes */</v>
      </c>
      <c r="M169" s="49"/>
      <c r="N169" s="49"/>
      <c r="O169" s="49"/>
      <c r="P169" s="49"/>
      <c r="Q169" s="49"/>
      <c r="R169" s="50"/>
      <c r="S169" s="51"/>
      <c r="T169" s="52" t="str">
        <f t="shared" ref="T169:T176" si="6">"    "&amp;C169&amp;D169&amp;E169&amp;F169&amp;G169&amp;H169&amp;I169&amp;J169&amp;"    "&amp;L169&amp;$C$349</f>
        <v xml:space="preserve">    0x05,     /* UUID Field Length 5bytes */    \</v>
      </c>
      <c r="U169" s="52"/>
      <c r="V169" s="52"/>
      <c r="W169" s="52"/>
      <c r="X169" s="52"/>
      <c r="Y169" s="52"/>
      <c r="Z169" s="52"/>
      <c r="AA169" s="52"/>
      <c r="AB169" s="86"/>
      <c r="AC169" s="86"/>
      <c r="AD169" s="86"/>
      <c r="AE169" s="86"/>
    </row>
    <row r="170" spans="2:31" ht="15" thickBot="1">
      <c r="B170" s="48" t="s">
        <v>693</v>
      </c>
      <c r="C170" s="49"/>
      <c r="D170" s="49"/>
      <c r="E170" s="49"/>
      <c r="F170" s="49"/>
      <c r="G170" s="49"/>
      <c r="H170" s="49"/>
      <c r="I170" s="49"/>
      <c r="J170" s="50"/>
      <c r="K170" s="49"/>
      <c r="L170" s="49"/>
      <c r="M170" s="49"/>
      <c r="N170" s="49"/>
      <c r="O170" s="49"/>
      <c r="P170" s="49"/>
      <c r="Q170" s="49"/>
      <c r="R170" s="50"/>
      <c r="S170" s="51"/>
      <c r="T170" s="52" t="str">
        <f t="shared" si="6"/>
        <v xml:space="preserve">            \</v>
      </c>
      <c r="U170" s="52"/>
      <c r="V170" s="52"/>
      <c r="W170" s="52"/>
      <c r="X170" s="52"/>
      <c r="Y170" s="52"/>
      <c r="Z170" s="52"/>
      <c r="AA170" s="52"/>
      <c r="AB170" s="86"/>
      <c r="AC170" s="86"/>
      <c r="AD170" s="86"/>
      <c r="AE170" s="86"/>
    </row>
    <row r="171" spans="2:31" ht="15" thickBot="1">
      <c r="B171" s="48"/>
      <c r="C171" s="66" t="str">
        <f>$E$293</f>
        <v xml:space="preserve">0x03, </v>
      </c>
      <c r="D171" s="49"/>
      <c r="E171" s="49"/>
      <c r="F171" s="49"/>
      <c r="G171" s="49"/>
      <c r="H171" s="49"/>
      <c r="I171" s="49"/>
      <c r="J171" s="50"/>
      <c r="K171" s="49"/>
      <c r="L171" s="49" t="str">
        <f>IF(M46&gt;0,"/* UUID Field EIR Type 0x03 */","")</f>
        <v>/* UUID Field EIR Type 0x03 */</v>
      </c>
      <c r="M171" s="49"/>
      <c r="N171" s="49"/>
      <c r="O171" s="49"/>
      <c r="P171" s="49"/>
      <c r="Q171" s="49"/>
      <c r="R171" s="50"/>
      <c r="S171" s="51"/>
      <c r="T171" s="52" t="str">
        <f t="shared" si="6"/>
        <v xml:space="preserve">    0x03,     /* UUID Field EIR Type 0x03 */    \</v>
      </c>
      <c r="U171" s="52"/>
      <c r="V171" s="52"/>
      <c r="W171" s="52"/>
      <c r="X171" s="52"/>
      <c r="Y171" s="52"/>
      <c r="Z171" s="52"/>
      <c r="AA171" s="52"/>
      <c r="AB171" s="86"/>
      <c r="AC171" s="86"/>
      <c r="AD171" s="86"/>
      <c r="AE171" s="86"/>
    </row>
    <row r="172" spans="2:31" ht="15" thickBot="1">
      <c r="B172" s="48" t="s">
        <v>694</v>
      </c>
      <c r="C172" s="49"/>
      <c r="D172" s="49"/>
      <c r="E172" s="49"/>
      <c r="F172" s="49"/>
      <c r="G172" s="49"/>
      <c r="H172" s="49"/>
      <c r="I172" s="49"/>
      <c r="J172" s="50"/>
      <c r="K172" s="49"/>
      <c r="L172" s="49"/>
      <c r="M172" s="49"/>
      <c r="N172" s="49"/>
      <c r="O172" s="49"/>
      <c r="P172" s="49"/>
      <c r="Q172" s="49"/>
      <c r="R172" s="50"/>
      <c r="S172" s="51"/>
      <c r="T172" s="52" t="str">
        <f t="shared" si="6"/>
        <v xml:space="preserve">            \</v>
      </c>
      <c r="U172" s="52"/>
      <c r="V172" s="52"/>
      <c r="W172" s="52"/>
      <c r="X172" s="52"/>
      <c r="Y172" s="52"/>
      <c r="Z172" s="52"/>
      <c r="AA172" s="52"/>
      <c r="AB172" s="86"/>
      <c r="AC172" s="86"/>
      <c r="AD172" s="86"/>
      <c r="AE172" s="86"/>
    </row>
    <row r="173" spans="2:31" ht="15" thickBot="1">
      <c r="B173" s="48"/>
      <c r="C173" s="58" t="str">
        <f t="shared" ref="C173:D173" si="7">H296</f>
        <v xml:space="preserve">0x1E, </v>
      </c>
      <c r="D173" s="60" t="str">
        <f t="shared" si="7"/>
        <v xml:space="preserve">0x11, </v>
      </c>
      <c r="E173" s="49"/>
      <c r="F173" s="49"/>
      <c r="G173" s="49"/>
      <c r="H173" s="49"/>
      <c r="I173" s="49"/>
      <c r="J173" s="50"/>
      <c r="K173" s="49"/>
      <c r="L173" s="49" t="str">
        <f>IF(M46&gt;0,"/* UUID 1 "&amp;G49&amp;" */","")</f>
        <v>/* UUID 1 Handsfree */</v>
      </c>
      <c r="M173" s="49"/>
      <c r="N173" s="49"/>
      <c r="O173" s="49"/>
      <c r="P173" s="49"/>
      <c r="Q173" s="49"/>
      <c r="R173" s="50"/>
      <c r="S173" s="51"/>
      <c r="T173" s="52" t="str">
        <f t="shared" si="6"/>
        <v xml:space="preserve">    0x1E, 0x11,     /* UUID 1 Handsfree */    \</v>
      </c>
      <c r="U173" s="52"/>
      <c r="V173" s="52"/>
      <c r="W173" s="52"/>
      <c r="X173" s="52"/>
      <c r="Y173" s="52"/>
      <c r="Z173" s="52"/>
      <c r="AA173" s="52"/>
      <c r="AB173" s="86"/>
      <c r="AC173" s="86"/>
      <c r="AD173" s="86"/>
      <c r="AE173" s="86"/>
    </row>
    <row r="174" spans="2:31" ht="15" thickBot="1">
      <c r="B174" s="48" t="s">
        <v>695</v>
      </c>
      <c r="C174" s="49"/>
      <c r="D174" s="49"/>
      <c r="E174" s="49"/>
      <c r="F174" s="49"/>
      <c r="G174" s="49"/>
      <c r="H174" s="49"/>
      <c r="I174" s="49"/>
      <c r="J174" s="50"/>
      <c r="K174" s="49"/>
      <c r="L174" s="49"/>
      <c r="M174" s="49"/>
      <c r="N174" s="49"/>
      <c r="O174" s="49"/>
      <c r="P174" s="49"/>
      <c r="Q174" s="49"/>
      <c r="R174" s="50"/>
      <c r="S174" s="51"/>
      <c r="T174" s="52" t="str">
        <f t="shared" si="6"/>
        <v xml:space="preserve">            \</v>
      </c>
      <c r="U174" s="52"/>
      <c r="V174" s="52"/>
      <c r="W174" s="52"/>
      <c r="X174" s="52"/>
      <c r="Y174" s="52"/>
      <c r="Z174" s="52"/>
      <c r="AA174" s="52"/>
      <c r="AB174" s="86"/>
      <c r="AC174" s="86"/>
      <c r="AD174" s="86"/>
      <c r="AE174" s="86"/>
    </row>
    <row r="175" spans="2:31" ht="15" thickBot="1">
      <c r="B175" s="48"/>
      <c r="C175" s="58" t="str">
        <f t="shared" ref="C175:D175" si="8">H297</f>
        <v xml:space="preserve">0x0B, </v>
      </c>
      <c r="D175" s="60" t="str">
        <f t="shared" si="8"/>
        <v xml:space="preserve">0x11, </v>
      </c>
      <c r="E175" s="49"/>
      <c r="F175" s="49"/>
      <c r="G175" s="49"/>
      <c r="H175" s="49"/>
      <c r="I175" s="49"/>
      <c r="J175" s="50"/>
      <c r="K175" s="49"/>
      <c r="L175" s="49" t="str">
        <f>IF(M46&gt;1,"/* UUID 2 "&amp;G53&amp;" */","")</f>
        <v>/* UUID 2 AudioSink */</v>
      </c>
      <c r="M175" s="49"/>
      <c r="N175" s="49"/>
      <c r="O175" s="49"/>
      <c r="P175" s="49"/>
      <c r="Q175" s="49"/>
      <c r="R175" s="50"/>
      <c r="S175" s="51"/>
      <c r="T175" s="52" t="str">
        <f t="shared" si="6"/>
        <v xml:space="preserve">    0x0B, 0x11,     /* UUID 2 AudioSink */    \</v>
      </c>
      <c r="U175" s="52"/>
      <c r="V175" s="52"/>
      <c r="W175" s="52"/>
      <c r="X175" s="52"/>
      <c r="Y175" s="52"/>
      <c r="Z175" s="52"/>
      <c r="AA175" s="52"/>
      <c r="AB175" s="86"/>
      <c r="AC175" s="86"/>
      <c r="AD175" s="86"/>
      <c r="AE175" s="86"/>
    </row>
    <row r="176" spans="2:31" ht="15" thickBot="1">
      <c r="B176" s="48" t="s">
        <v>696</v>
      </c>
      <c r="C176" s="49"/>
      <c r="D176" s="49"/>
      <c r="E176" s="49"/>
      <c r="F176" s="49"/>
      <c r="G176" s="49"/>
      <c r="H176" s="49"/>
      <c r="I176" s="49"/>
      <c r="J176" s="50"/>
      <c r="K176" s="49"/>
      <c r="L176" s="49"/>
      <c r="M176" s="49"/>
      <c r="N176" s="49"/>
      <c r="O176" s="49"/>
      <c r="P176" s="49"/>
      <c r="Q176" s="49"/>
      <c r="R176" s="50"/>
      <c r="S176" s="51"/>
      <c r="T176" s="52" t="str">
        <f t="shared" si="6"/>
        <v xml:space="preserve">            \</v>
      </c>
      <c r="U176" s="52"/>
      <c r="V176" s="52"/>
      <c r="W176" s="52"/>
      <c r="X176" s="52"/>
      <c r="Y176" s="52"/>
      <c r="Z176" s="52"/>
      <c r="AA176" s="52"/>
      <c r="AB176" s="86"/>
      <c r="AC176" s="86"/>
      <c r="AD176" s="86"/>
      <c r="AE176" s="86"/>
    </row>
    <row r="177" spans="2:31" ht="15" thickBot="1">
      <c r="B177" s="57"/>
      <c r="C177" s="58" t="str">
        <f t="shared" ref="C177:D177" si="9">H298</f>
        <v/>
      </c>
      <c r="D177" s="60" t="str">
        <f t="shared" si="9"/>
        <v/>
      </c>
      <c r="E177" s="62"/>
      <c r="F177" s="62"/>
      <c r="G177" s="62"/>
      <c r="H177" s="62"/>
      <c r="I177" s="62"/>
      <c r="J177" s="61"/>
      <c r="K177" s="49"/>
      <c r="L177" s="49" t="str">
        <f>IF(M46&gt;2,"/* UUID 3 "&amp;G57&amp;" */","")</f>
        <v/>
      </c>
      <c r="M177" s="49"/>
      <c r="N177" s="49"/>
      <c r="O177" s="49"/>
      <c r="P177" s="49"/>
      <c r="Q177" s="49"/>
      <c r="R177" s="50"/>
      <c r="S177" s="51"/>
      <c r="T177" s="52"/>
      <c r="U177" s="52"/>
      <c r="V177" s="52"/>
      <c r="W177" s="52"/>
      <c r="X177" s="52"/>
      <c r="Y177" s="52"/>
      <c r="Z177" s="52"/>
      <c r="AA177" s="52"/>
      <c r="AB177" s="86"/>
      <c r="AC177" s="86"/>
      <c r="AD177" s="86"/>
      <c r="AE177" s="86"/>
    </row>
    <row r="178" spans="2:31">
      <c r="B178" s="48" t="s">
        <v>711</v>
      </c>
      <c r="C178" s="49"/>
      <c r="D178" s="49"/>
      <c r="E178" s="49"/>
      <c r="F178" s="49"/>
      <c r="G178" s="49"/>
      <c r="H178" s="49"/>
      <c r="I178" s="49"/>
      <c r="J178" s="50"/>
      <c r="K178" s="49"/>
      <c r="L178" s="49"/>
      <c r="M178" s="49"/>
      <c r="N178" s="49"/>
      <c r="O178" s="49"/>
      <c r="P178" s="49"/>
      <c r="Q178" s="49"/>
      <c r="R178" s="50"/>
      <c r="S178" s="51"/>
      <c r="T178" s="52"/>
      <c r="U178" s="52"/>
      <c r="V178" s="52"/>
      <c r="W178" s="52"/>
      <c r="X178" s="52"/>
      <c r="Y178" s="52"/>
      <c r="Z178" s="52"/>
      <c r="AA178" s="52"/>
      <c r="AB178" s="86"/>
      <c r="AC178" s="86"/>
      <c r="AD178" s="86"/>
      <c r="AE178" s="86"/>
    </row>
    <row r="179" spans="2:31" ht="15" thickBot="1">
      <c r="B179" s="48" t="s">
        <v>712</v>
      </c>
      <c r="C179" s="49"/>
      <c r="D179" s="49"/>
      <c r="E179" s="49"/>
      <c r="F179" s="49"/>
      <c r="G179" s="49"/>
      <c r="H179" s="49"/>
      <c r="I179" s="49"/>
      <c r="J179" s="50"/>
      <c r="K179" s="49"/>
      <c r="L179" s="49" t="str">
        <f>IF(G63="Yes","/* Extra EIR Data Field Start */","")</f>
        <v/>
      </c>
      <c r="M179" s="49"/>
      <c r="N179" s="49"/>
      <c r="O179" s="49"/>
      <c r="P179" s="49"/>
      <c r="Q179" s="49"/>
      <c r="R179" s="50"/>
      <c r="S179" s="51"/>
      <c r="T179" s="52" t="str">
        <f>C179&amp;D179&amp;E179&amp;F179&amp;G179&amp;H179&amp;I179&amp;J179&amp;"    "&amp;L179&amp;$C$349</f>
        <v xml:space="preserve">        \</v>
      </c>
      <c r="U179" s="52"/>
      <c r="V179" s="52"/>
      <c r="W179" s="52"/>
      <c r="X179" s="52"/>
      <c r="Y179" s="52"/>
      <c r="Z179" s="52"/>
      <c r="AA179" s="52"/>
      <c r="AB179" s="86"/>
      <c r="AC179" s="86"/>
      <c r="AD179" s="86"/>
      <c r="AE179" s="86"/>
    </row>
    <row r="180" spans="2:31" ht="15" thickBot="1">
      <c r="B180" s="48"/>
      <c r="C180" s="66" t="str">
        <f>$G$319</f>
        <v/>
      </c>
      <c r="D180" s="49"/>
      <c r="E180" s="49"/>
      <c r="F180" s="49"/>
      <c r="G180" s="49"/>
      <c r="H180" s="49"/>
      <c r="I180" s="49"/>
      <c r="J180" s="50"/>
      <c r="K180" s="49"/>
      <c r="L180" s="49" t="str">
        <f>IF(G63="Yes","/* Extra EIR Data Field Length "&amp;C319&amp;"bytes */","")</f>
        <v/>
      </c>
      <c r="M180" s="49"/>
      <c r="N180" s="49"/>
      <c r="O180" s="49"/>
      <c r="P180" s="49"/>
      <c r="Q180" s="49"/>
      <c r="R180" s="50"/>
      <c r="S180" s="51"/>
      <c r="T180" s="52" t="str">
        <f>"    "&amp;C180&amp;D180&amp;E180&amp;F180&amp;G180&amp;H180&amp;I180&amp;J180&amp;"    "&amp;L180&amp;$C$349</f>
        <v xml:space="preserve">            \</v>
      </c>
      <c r="U180" s="52"/>
      <c r="V180" s="52"/>
      <c r="W180" s="52"/>
      <c r="X180" s="52"/>
      <c r="Y180" s="52"/>
      <c r="Z180" s="52"/>
      <c r="AA180" s="52"/>
      <c r="AB180" s="86"/>
      <c r="AC180" s="86"/>
      <c r="AD180" s="86"/>
      <c r="AE180" s="86"/>
    </row>
    <row r="181" spans="2:31" ht="15" thickBot="1">
      <c r="B181" s="48" t="s">
        <v>713</v>
      </c>
      <c r="C181" s="49"/>
      <c r="D181" s="49"/>
      <c r="E181" s="49"/>
      <c r="F181" s="49"/>
      <c r="G181" s="49"/>
      <c r="H181" s="49"/>
      <c r="I181" s="49"/>
      <c r="J181" s="50"/>
      <c r="K181" s="49"/>
      <c r="L181" s="49"/>
      <c r="M181" s="49"/>
      <c r="N181" s="49"/>
      <c r="O181" s="49"/>
      <c r="P181" s="49"/>
      <c r="Q181" s="49"/>
      <c r="R181" s="50"/>
      <c r="S181" s="51"/>
      <c r="T181" s="52" t="str">
        <f>"    "&amp;C181&amp;D181&amp;E181&amp;F181&amp;G181&amp;H181&amp;I181&amp;J181&amp;"    "&amp;L181&amp;$C$349</f>
        <v xml:space="preserve">            \</v>
      </c>
      <c r="U181" s="52"/>
      <c r="V181" s="52"/>
      <c r="W181" s="52"/>
      <c r="X181" s="52"/>
      <c r="Y181" s="52"/>
      <c r="Z181" s="52"/>
      <c r="AA181" s="52"/>
      <c r="AB181" s="86"/>
      <c r="AC181" s="86"/>
      <c r="AD181" s="86"/>
      <c r="AE181" s="86"/>
    </row>
    <row r="182" spans="2:31" ht="15" thickBot="1">
      <c r="B182" s="48"/>
      <c r="C182" s="66" t="str">
        <f>$E$305</f>
        <v/>
      </c>
      <c r="D182" s="49"/>
      <c r="E182" s="49"/>
      <c r="F182" s="49"/>
      <c r="G182" s="49"/>
      <c r="H182" s="49"/>
      <c r="I182" s="49"/>
      <c r="J182" s="50"/>
      <c r="K182" s="49"/>
      <c r="L182" s="49" t="str">
        <f>IF(G63="Yes","/* Extra EIR Data Type: "&amp;G65&amp;" */","")</f>
        <v/>
      </c>
      <c r="M182" s="49"/>
      <c r="N182" s="49"/>
      <c r="O182" s="49"/>
      <c r="P182" s="49"/>
      <c r="Q182" s="49"/>
      <c r="R182" s="50"/>
      <c r="S182" s="51"/>
      <c r="T182" s="52" t="str">
        <f>"    "&amp;C182&amp;D182&amp;E182&amp;F182&amp;G182&amp;H182&amp;I182&amp;J182&amp;"    "&amp;L182&amp;$C$349</f>
        <v xml:space="preserve">            \</v>
      </c>
      <c r="U182" s="52"/>
      <c r="V182" s="52"/>
      <c r="W182" s="52"/>
      <c r="X182" s="52"/>
      <c r="Y182" s="52"/>
      <c r="Z182" s="52"/>
      <c r="AA182" s="52"/>
      <c r="AB182" s="86"/>
      <c r="AC182" s="86"/>
      <c r="AD182" s="86"/>
      <c r="AE182" s="86"/>
    </row>
    <row r="183" spans="2:31" ht="15" thickBot="1">
      <c r="B183" s="48" t="s">
        <v>714</v>
      </c>
      <c r="C183" s="138"/>
      <c r="D183" s="49"/>
      <c r="E183" s="49"/>
      <c r="F183" s="49"/>
      <c r="G183" s="49"/>
      <c r="H183" s="49"/>
      <c r="I183" s="49"/>
      <c r="J183" s="50"/>
      <c r="K183" s="49"/>
      <c r="L183" s="49" t="str">
        <f>IF(G63="Yes","/* Extra EIR Data: */","")</f>
        <v/>
      </c>
      <c r="M183" s="49"/>
      <c r="N183" s="49"/>
      <c r="O183" s="49"/>
      <c r="P183" s="49"/>
      <c r="Q183" s="49"/>
      <c r="R183" s="50"/>
      <c r="S183" s="51"/>
      <c r="T183" s="52" t="str">
        <f>C183&amp;D183&amp;E183&amp;F183&amp;G183&amp;H183&amp;I183&amp;J183&amp;"    "&amp;L183&amp;$C$349</f>
        <v xml:space="preserve">        \</v>
      </c>
      <c r="U183" s="52"/>
      <c r="V183" s="52"/>
      <c r="W183" s="52"/>
      <c r="X183" s="52"/>
      <c r="Y183" s="52"/>
      <c r="Z183" s="52"/>
      <c r="AA183" s="52"/>
      <c r="AB183" s="86"/>
      <c r="AC183" s="86"/>
      <c r="AD183" s="86"/>
      <c r="AE183" s="86"/>
    </row>
    <row r="184" spans="2:31">
      <c r="B184" s="48"/>
      <c r="C184" s="78" t="str">
        <f t="shared" ref="C184:J187" si="10">U314</f>
        <v/>
      </c>
      <c r="D184" s="79" t="str">
        <f t="shared" si="10"/>
        <v/>
      </c>
      <c r="E184" s="79" t="str">
        <f t="shared" si="10"/>
        <v/>
      </c>
      <c r="F184" s="79" t="str">
        <f t="shared" si="10"/>
        <v/>
      </c>
      <c r="G184" s="79" t="str">
        <f t="shared" si="10"/>
        <v/>
      </c>
      <c r="H184" s="79" t="str">
        <f t="shared" si="10"/>
        <v/>
      </c>
      <c r="I184" s="79" t="str">
        <f t="shared" si="10"/>
        <v/>
      </c>
      <c r="J184" s="69" t="str">
        <f t="shared" si="10"/>
        <v/>
      </c>
      <c r="K184" s="49"/>
      <c r="L184" s="49"/>
      <c r="M184" s="49"/>
      <c r="N184" s="49"/>
      <c r="O184" s="49"/>
      <c r="P184" s="49"/>
      <c r="Q184" s="49"/>
      <c r="R184" s="50"/>
      <c r="S184" s="51"/>
      <c r="T184" s="52" t="str">
        <f>"    "&amp;C184&amp;D184&amp;E184&amp;F184&amp;G184&amp;H184&amp;I184&amp;J184&amp;"    "&amp;L184&amp;$C$349</f>
        <v xml:space="preserve">            \</v>
      </c>
      <c r="U184" s="52"/>
      <c r="V184" s="52"/>
      <c r="W184" s="52"/>
      <c r="X184" s="52"/>
      <c r="Y184" s="52"/>
      <c r="Z184" s="52"/>
      <c r="AA184" s="52"/>
      <c r="AB184" s="86"/>
      <c r="AC184" s="86"/>
      <c r="AD184" s="86"/>
      <c r="AE184" s="86"/>
    </row>
    <row r="185" spans="2:31">
      <c r="B185" s="48"/>
      <c r="C185" s="80" t="str">
        <f t="shared" si="10"/>
        <v/>
      </c>
      <c r="D185" s="81" t="str">
        <f t="shared" si="10"/>
        <v/>
      </c>
      <c r="E185" s="81" t="str">
        <f t="shared" si="10"/>
        <v/>
      </c>
      <c r="F185" s="81" t="str">
        <f t="shared" si="10"/>
        <v/>
      </c>
      <c r="G185" s="81" t="str">
        <f t="shared" si="10"/>
        <v/>
      </c>
      <c r="H185" s="81" t="str">
        <f t="shared" si="10"/>
        <v/>
      </c>
      <c r="I185" s="81" t="str">
        <f t="shared" si="10"/>
        <v/>
      </c>
      <c r="J185" s="82" t="str">
        <f t="shared" si="10"/>
        <v/>
      </c>
      <c r="K185" s="49"/>
      <c r="L185" s="49"/>
      <c r="M185" s="49"/>
      <c r="N185" s="49"/>
      <c r="O185" s="49"/>
      <c r="P185" s="49"/>
      <c r="Q185" s="49"/>
      <c r="R185" s="50"/>
      <c r="S185" s="51"/>
      <c r="T185" s="52" t="str">
        <f>"    "&amp;C185&amp;D185&amp;E185&amp;F185&amp;G185&amp;H185&amp;I185&amp;J185&amp;"    "&amp;L185&amp;$C$349</f>
        <v xml:space="preserve">            \</v>
      </c>
      <c r="U185" s="52"/>
      <c r="V185" s="52"/>
      <c r="W185" s="52"/>
      <c r="X185" s="52"/>
      <c r="Y185" s="52"/>
      <c r="Z185" s="52"/>
      <c r="AA185" s="52"/>
      <c r="AB185" s="86"/>
      <c r="AC185" s="86"/>
      <c r="AD185" s="86"/>
      <c r="AE185" s="86"/>
    </row>
    <row r="186" spans="2:31">
      <c r="B186" s="48"/>
      <c r="C186" s="80" t="str">
        <f t="shared" si="10"/>
        <v/>
      </c>
      <c r="D186" s="81" t="str">
        <f t="shared" si="10"/>
        <v/>
      </c>
      <c r="E186" s="81" t="str">
        <f t="shared" si="10"/>
        <v/>
      </c>
      <c r="F186" s="81" t="str">
        <f t="shared" si="10"/>
        <v/>
      </c>
      <c r="G186" s="81" t="str">
        <f t="shared" si="10"/>
        <v/>
      </c>
      <c r="H186" s="81" t="str">
        <f t="shared" si="10"/>
        <v/>
      </c>
      <c r="I186" s="81" t="str">
        <f t="shared" si="10"/>
        <v/>
      </c>
      <c r="J186" s="82" t="str">
        <f t="shared" si="10"/>
        <v/>
      </c>
      <c r="K186" s="49"/>
      <c r="L186" s="49"/>
      <c r="M186" s="49"/>
      <c r="N186" s="49"/>
      <c r="O186" s="49"/>
      <c r="P186" s="49"/>
      <c r="Q186" s="49"/>
      <c r="R186" s="50"/>
      <c r="S186" s="51"/>
      <c r="T186" s="52" t="str">
        <f>"    "&amp;C186&amp;D186&amp;E186&amp;F186&amp;G186&amp;H186&amp;I186&amp;J186&amp;"    "&amp;L186&amp;$C$349</f>
        <v xml:space="preserve">            \</v>
      </c>
      <c r="U186" s="52"/>
      <c r="V186" s="52"/>
      <c r="W186" s="52"/>
      <c r="X186" s="52"/>
      <c r="Y186" s="52"/>
      <c r="Z186" s="52"/>
      <c r="AA186" s="52"/>
      <c r="AB186" s="86"/>
      <c r="AC186" s="86"/>
      <c r="AD186" s="86"/>
      <c r="AE186" s="86"/>
    </row>
    <row r="187" spans="2:31" ht="15" thickBot="1">
      <c r="B187" s="57"/>
      <c r="C187" s="83" t="str">
        <f t="shared" si="10"/>
        <v/>
      </c>
      <c r="D187" s="84" t="str">
        <f t="shared" si="10"/>
        <v/>
      </c>
      <c r="E187" s="84" t="str">
        <f t="shared" si="10"/>
        <v/>
      </c>
      <c r="F187" s="84" t="str">
        <f t="shared" si="10"/>
        <v/>
      </c>
      <c r="G187" s="84" t="str">
        <f t="shared" si="10"/>
        <v/>
      </c>
      <c r="H187" s="84" t="str">
        <f t="shared" si="10"/>
        <v/>
      </c>
      <c r="I187" s="84" t="str">
        <f t="shared" si="10"/>
        <v/>
      </c>
      <c r="J187" s="85" t="str">
        <f t="shared" si="10"/>
        <v/>
      </c>
      <c r="K187" s="49"/>
      <c r="L187" s="49"/>
      <c r="M187" s="49"/>
      <c r="N187" s="49"/>
      <c r="O187" s="49"/>
      <c r="P187" s="49"/>
      <c r="Q187" s="49"/>
      <c r="R187" s="50"/>
      <c r="S187" s="51"/>
      <c r="T187" s="52" t="str">
        <f>"    "&amp;C187&amp;D187&amp;E187&amp;F187&amp;G187&amp;H187&amp;I187&amp;J187&amp;"    "&amp;L187&amp;$C$349</f>
        <v xml:space="preserve">            \</v>
      </c>
      <c r="U187" s="52"/>
      <c r="V187" s="52"/>
      <c r="W187" s="52"/>
      <c r="X187" s="52"/>
      <c r="Y187" s="52"/>
      <c r="Z187" s="52"/>
      <c r="AA187" s="52"/>
      <c r="AB187" s="86"/>
      <c r="AC187" s="86"/>
      <c r="AD187" s="86"/>
      <c r="AE187" s="86"/>
    </row>
    <row r="188" spans="2:31">
      <c r="B188" s="48"/>
      <c r="C188" s="49"/>
      <c r="D188" s="49"/>
      <c r="E188" s="49"/>
      <c r="F188" s="49"/>
      <c r="G188" s="49"/>
      <c r="H188" s="49"/>
      <c r="I188" s="49"/>
      <c r="J188" s="49"/>
      <c r="K188" s="49"/>
      <c r="L188" s="49" t="s">
        <v>97</v>
      </c>
      <c r="M188" s="49"/>
      <c r="N188" s="49"/>
      <c r="O188" s="49"/>
      <c r="P188" s="49"/>
      <c r="Q188" s="49"/>
      <c r="R188" s="50"/>
      <c r="S188" s="49"/>
      <c r="T188" s="52" t="str">
        <f>C188&amp;D188&amp;E188&amp;F188&amp;G188&amp;H188&amp;I188&amp;J188&amp;L188</f>
        <v>} /* End of data */</v>
      </c>
      <c r="U188" s="52"/>
      <c r="V188" s="52"/>
      <c r="W188" s="52"/>
      <c r="X188" s="52"/>
      <c r="Y188" s="52"/>
      <c r="Z188" s="52"/>
      <c r="AA188" s="52"/>
      <c r="AB188" s="86"/>
      <c r="AC188" s="86"/>
      <c r="AD188" s="86"/>
      <c r="AE188" s="86"/>
    </row>
    <row r="189" spans="2:31" ht="15" thickBot="1">
      <c r="B189" s="5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1"/>
      <c r="S189" s="49"/>
      <c r="T189" s="52"/>
      <c r="U189" s="52"/>
      <c r="V189" s="52"/>
      <c r="W189" s="52"/>
      <c r="X189" s="52"/>
      <c r="Y189" s="52"/>
      <c r="Z189" s="52"/>
      <c r="AA189" s="52"/>
      <c r="AB189" s="86"/>
      <c r="AC189" s="86"/>
      <c r="AD189" s="86"/>
      <c r="AE189" s="86"/>
    </row>
    <row r="208" spans="2:23">
      <c r="B208" s="52"/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</row>
    <row r="209" spans="2:23">
      <c r="B209" s="52"/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</row>
    <row r="210" spans="2:23">
      <c r="B210" s="52"/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</row>
    <row r="211" spans="2:23">
      <c r="B211" s="52"/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</row>
    <row r="212" spans="2:23">
      <c r="B212" s="52"/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</row>
    <row r="213" spans="2:23">
      <c r="B213" s="52"/>
      <c r="C213" s="52"/>
      <c r="D213" s="52"/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</row>
    <row r="214" spans="2:23">
      <c r="B214" s="52"/>
      <c r="C214" s="52"/>
      <c r="D214" s="52"/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</row>
    <row r="215" spans="2:23">
      <c r="B215" s="52"/>
      <c r="C215" s="52"/>
      <c r="D215" s="52"/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</row>
    <row r="216" spans="2:23">
      <c r="B216" s="52"/>
      <c r="C216" s="52"/>
      <c r="D216" s="52"/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</row>
    <row r="217" spans="2:23">
      <c r="B217" s="52"/>
      <c r="C217" s="52"/>
      <c r="D217" s="52"/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</row>
    <row r="218" spans="2:23">
      <c r="B218" s="52"/>
      <c r="C218" s="52"/>
      <c r="D218" s="52"/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</row>
    <row r="219" spans="2:23">
      <c r="B219" s="52"/>
      <c r="C219" s="52"/>
      <c r="D219" s="52"/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</row>
    <row r="220" spans="2:23">
      <c r="B220" s="52"/>
      <c r="C220" s="52"/>
      <c r="D220" s="52"/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</row>
    <row r="221" spans="2:23">
      <c r="B221" s="52"/>
      <c r="C221" s="52"/>
      <c r="D221" s="52"/>
      <c r="E221" s="52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</row>
    <row r="222" spans="2:23">
      <c r="B222" s="52"/>
      <c r="C222" s="52"/>
      <c r="D222" s="52"/>
      <c r="E222" s="52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</row>
    <row r="223" spans="2:23">
      <c r="B223" s="52"/>
      <c r="C223" s="52"/>
      <c r="D223" s="52"/>
      <c r="E223" s="52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</row>
    <row r="224" spans="2:23">
      <c r="B224" s="52"/>
      <c r="C224" s="52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</row>
    <row r="225" spans="2:25">
      <c r="B225" s="52"/>
      <c r="C225" s="52"/>
      <c r="D225" s="52"/>
      <c r="E225" s="52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</row>
    <row r="226" spans="2:25">
      <c r="B226" s="52"/>
      <c r="C226" s="52"/>
      <c r="D226" s="52"/>
      <c r="E226" s="52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</row>
    <row r="227" spans="2:25">
      <c r="B227" s="52"/>
      <c r="C227" s="52"/>
      <c r="D227" s="52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</row>
    <row r="228" spans="2:25">
      <c r="B228" s="52"/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</row>
    <row r="229" spans="2:25">
      <c r="B229" s="52"/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</row>
    <row r="230" spans="2:25">
      <c r="B230" s="52"/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</row>
    <row r="231" spans="2:25">
      <c r="B231" s="52"/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</row>
    <row r="232" spans="2:25">
      <c r="B232" s="52"/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</row>
    <row r="233" spans="2:25">
      <c r="B233" s="52"/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</row>
    <row r="234" spans="2:25">
      <c r="B234" s="52"/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</row>
    <row r="235" spans="2:25" hidden="1" outlineLevel="1">
      <c r="B235" s="52"/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</row>
    <row r="236" spans="2:25" hidden="1" outlineLevel="1">
      <c r="B236" s="51"/>
      <c r="C236" s="51"/>
      <c r="D236" s="51"/>
      <c r="E236" s="51"/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3"/>
      <c r="Y236" s="53"/>
    </row>
    <row r="237" spans="2:25" hidden="1" outlineLevel="1">
      <c r="B237" s="51" t="s">
        <v>55</v>
      </c>
      <c r="C237" s="51"/>
      <c r="D237" s="51"/>
      <c r="E237" s="51"/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3"/>
      <c r="Y237" s="53"/>
    </row>
    <row r="238" spans="2:25" hidden="1" outlineLevel="1">
      <c r="B238" s="51" t="s">
        <v>28</v>
      </c>
      <c r="C238" s="104">
        <v>1</v>
      </c>
      <c r="D238" s="104">
        <v>2</v>
      </c>
      <c r="E238" s="104">
        <v>3</v>
      </c>
      <c r="F238" s="104">
        <v>4</v>
      </c>
      <c r="G238" s="104">
        <v>5</v>
      </c>
      <c r="H238" s="104">
        <v>6</v>
      </c>
      <c r="I238" s="104">
        <v>7</v>
      </c>
      <c r="J238" s="104">
        <v>8</v>
      </c>
      <c r="K238" s="51"/>
      <c r="L238" s="51"/>
      <c r="M238" s="51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3"/>
      <c r="Y238" s="53"/>
    </row>
    <row r="239" spans="2:25" hidden="1" outlineLevel="1">
      <c r="B239" s="51"/>
      <c r="C239" s="104">
        <v>9</v>
      </c>
      <c r="D239" s="104">
        <v>10</v>
      </c>
      <c r="E239" s="104">
        <v>11</v>
      </c>
      <c r="F239" s="104">
        <v>12</v>
      </c>
      <c r="G239" s="104">
        <v>13</v>
      </c>
      <c r="H239" s="104">
        <v>14</v>
      </c>
      <c r="I239" s="104">
        <v>15</v>
      </c>
      <c r="J239" s="104">
        <v>16</v>
      </c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3"/>
      <c r="Y239" s="53"/>
    </row>
    <row r="240" spans="2:25" hidden="1" outlineLevel="1">
      <c r="B240" s="51"/>
      <c r="C240" s="104">
        <v>17</v>
      </c>
      <c r="D240" s="104">
        <v>18</v>
      </c>
      <c r="E240" s="104">
        <v>19</v>
      </c>
      <c r="F240" s="104">
        <v>20</v>
      </c>
      <c r="G240" s="104">
        <v>21</v>
      </c>
      <c r="H240" s="104">
        <v>22</v>
      </c>
      <c r="I240" s="104">
        <v>23</v>
      </c>
      <c r="J240" s="104">
        <v>24</v>
      </c>
      <c r="K240" s="105"/>
      <c r="L240" s="105"/>
      <c r="M240" s="105"/>
      <c r="N240" s="105"/>
      <c r="O240" s="105"/>
      <c r="P240" s="105"/>
      <c r="Q240" s="105"/>
      <c r="R240" s="105"/>
      <c r="S240" s="105"/>
      <c r="T240" s="105"/>
      <c r="U240" s="51"/>
      <c r="V240" s="51"/>
      <c r="W240" s="51"/>
      <c r="X240" s="53"/>
      <c r="Y240" s="53"/>
    </row>
    <row r="241" spans="2:25" hidden="1" outlineLevel="1">
      <c r="B241" s="51"/>
      <c r="C241" s="104">
        <v>25</v>
      </c>
      <c r="D241" s="104">
        <v>26</v>
      </c>
      <c r="E241" s="104">
        <v>27</v>
      </c>
      <c r="F241" s="104">
        <v>28</v>
      </c>
      <c r="G241" s="104">
        <v>29</v>
      </c>
      <c r="H241" s="104">
        <v>30</v>
      </c>
      <c r="I241" s="104">
        <v>31</v>
      </c>
      <c r="J241" s="104">
        <v>32</v>
      </c>
      <c r="K241" s="105"/>
      <c r="L241" s="105"/>
      <c r="M241" s="105"/>
      <c r="N241" s="105"/>
      <c r="O241" s="105"/>
      <c r="P241" s="105"/>
      <c r="Q241" s="105"/>
      <c r="R241" s="105"/>
      <c r="S241" s="105"/>
      <c r="T241" s="105"/>
      <c r="U241" s="51"/>
      <c r="V241" s="51"/>
      <c r="W241" s="51"/>
      <c r="X241" s="53"/>
      <c r="Y241" s="53"/>
    </row>
    <row r="242" spans="2:25" hidden="1" outlineLevel="1">
      <c r="B242" s="51"/>
      <c r="C242" s="104">
        <v>33</v>
      </c>
      <c r="D242" s="104">
        <v>34</v>
      </c>
      <c r="E242" s="104">
        <v>35</v>
      </c>
      <c r="F242" s="104">
        <v>36</v>
      </c>
      <c r="G242" s="104">
        <v>37</v>
      </c>
      <c r="H242" s="104">
        <v>38</v>
      </c>
      <c r="I242" s="104">
        <v>39</v>
      </c>
      <c r="J242" s="104">
        <v>40</v>
      </c>
      <c r="K242" s="105"/>
      <c r="L242" s="105"/>
      <c r="M242" s="105"/>
      <c r="N242" s="105"/>
      <c r="O242" s="105"/>
      <c r="P242" s="105"/>
      <c r="Q242" s="105"/>
      <c r="R242" s="105"/>
      <c r="S242" s="105"/>
      <c r="T242" s="105"/>
      <c r="U242" s="51"/>
      <c r="V242" s="51"/>
      <c r="W242" s="51"/>
      <c r="X242" s="53"/>
      <c r="Y242" s="53"/>
    </row>
    <row r="243" spans="2:25" hidden="1" outlineLevel="1">
      <c r="B243" s="51"/>
      <c r="C243" s="104">
        <v>41</v>
      </c>
      <c r="D243" s="104">
        <v>42</v>
      </c>
      <c r="E243" s="104">
        <v>43</v>
      </c>
      <c r="F243" s="104">
        <v>44</v>
      </c>
      <c r="G243" s="104">
        <v>45</v>
      </c>
      <c r="H243" s="104">
        <v>46</v>
      </c>
      <c r="I243" s="104">
        <v>47</v>
      </c>
      <c r="J243" s="104">
        <v>48</v>
      </c>
      <c r="K243" s="105"/>
      <c r="L243" s="105"/>
      <c r="M243" s="105"/>
      <c r="N243" s="105"/>
      <c r="O243" s="105"/>
      <c r="P243" s="105"/>
      <c r="Q243" s="105"/>
      <c r="R243" s="105"/>
      <c r="S243" s="105"/>
      <c r="T243" s="105"/>
      <c r="U243" s="51"/>
      <c r="V243" s="51"/>
      <c r="W243" s="51"/>
      <c r="X243" s="53"/>
      <c r="Y243" s="53"/>
    </row>
    <row r="244" spans="2:25" hidden="1" outlineLevel="1">
      <c r="B244" s="51"/>
      <c r="C244" s="104">
        <v>49</v>
      </c>
      <c r="D244" s="104">
        <v>50</v>
      </c>
      <c r="E244" s="104">
        <v>51</v>
      </c>
      <c r="F244" s="104">
        <v>52</v>
      </c>
      <c r="G244" s="104">
        <v>53</v>
      </c>
      <c r="H244" s="104">
        <v>54</v>
      </c>
      <c r="I244" s="104">
        <v>55</v>
      </c>
      <c r="J244" s="104">
        <v>56</v>
      </c>
      <c r="K244" s="105"/>
      <c r="L244" s="105"/>
      <c r="M244" s="105"/>
      <c r="N244" s="105"/>
      <c r="O244" s="105"/>
      <c r="P244" s="105"/>
      <c r="Q244" s="105"/>
      <c r="R244" s="105"/>
      <c r="S244" s="105"/>
      <c r="T244" s="105"/>
      <c r="U244" s="51"/>
      <c r="V244" s="51"/>
      <c r="W244" s="51"/>
      <c r="X244" s="53"/>
      <c r="Y244" s="53"/>
    </row>
    <row r="245" spans="2:25" hidden="1" outlineLevel="1">
      <c r="B245" s="51"/>
      <c r="C245" s="104">
        <v>57</v>
      </c>
      <c r="D245" s="104">
        <v>58</v>
      </c>
      <c r="E245" s="104">
        <v>59</v>
      </c>
      <c r="F245" s="104">
        <v>60</v>
      </c>
      <c r="G245" s="104">
        <v>61</v>
      </c>
      <c r="H245" s="104">
        <v>62</v>
      </c>
      <c r="I245" s="104">
        <v>63</v>
      </c>
      <c r="J245" s="104">
        <v>64</v>
      </c>
      <c r="K245" s="105"/>
      <c r="L245" s="105"/>
      <c r="M245" s="105"/>
      <c r="N245" s="105"/>
      <c r="O245" s="105"/>
      <c r="P245" s="105"/>
      <c r="Q245" s="105"/>
      <c r="R245" s="105"/>
      <c r="S245" s="105"/>
      <c r="T245" s="105"/>
      <c r="U245" s="51"/>
      <c r="V245" s="51"/>
      <c r="W245" s="51"/>
      <c r="X245" s="53"/>
      <c r="Y245" s="53"/>
    </row>
    <row r="246" spans="2:25" hidden="1" outlineLevel="1">
      <c r="B246" s="51"/>
      <c r="C246" s="51"/>
      <c r="D246" s="51"/>
      <c r="E246" s="51"/>
      <c r="F246" s="51"/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3"/>
      <c r="Y246" s="53"/>
    </row>
    <row r="247" spans="2:25" hidden="1" outlineLevel="1">
      <c r="B247" s="51"/>
      <c r="C247" s="51" t="s">
        <v>628</v>
      </c>
      <c r="D247" s="51"/>
      <c r="E247" s="51"/>
      <c r="F247" s="51"/>
      <c r="G247" s="51"/>
      <c r="H247" s="51"/>
      <c r="I247" s="51"/>
      <c r="J247" s="51"/>
      <c r="K247" s="105"/>
      <c r="L247" s="140"/>
      <c r="M247" s="49"/>
      <c r="N247" s="49"/>
      <c r="O247" s="49"/>
      <c r="P247" s="105"/>
      <c r="Q247" s="105"/>
      <c r="R247" s="105"/>
      <c r="S247" s="105"/>
      <c r="T247" s="105"/>
      <c r="U247" s="51"/>
      <c r="V247" s="51"/>
      <c r="W247" s="51"/>
      <c r="X247" s="53"/>
      <c r="Y247" s="53"/>
    </row>
    <row r="248" spans="2:25" hidden="1" outlineLevel="1">
      <c r="B248" s="51"/>
      <c r="C248" s="51"/>
      <c r="D248" s="51"/>
      <c r="E248" s="51"/>
      <c r="F248" s="51"/>
      <c r="G248" s="51"/>
      <c r="H248" s="51"/>
      <c r="I248" s="51"/>
      <c r="J248" s="51"/>
      <c r="K248" s="105"/>
      <c r="L248" s="105"/>
      <c r="M248" s="105"/>
      <c r="N248" s="105"/>
      <c r="O248" s="105"/>
      <c r="P248" s="105"/>
      <c r="Q248" s="105"/>
      <c r="R248" s="105"/>
      <c r="S248" s="105"/>
      <c r="T248" s="105"/>
      <c r="U248" s="51"/>
      <c r="V248" s="51"/>
      <c r="W248" s="51"/>
      <c r="X248" s="53"/>
      <c r="Y248" s="53"/>
    </row>
    <row r="249" spans="2:25" ht="15" hidden="1" outlineLevel="1">
      <c r="B249" s="141" t="s">
        <v>705</v>
      </c>
      <c r="C249" s="51"/>
      <c r="D249" s="142"/>
      <c r="E249" s="142"/>
      <c r="F249" s="51"/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3"/>
      <c r="Y249" s="53"/>
    </row>
    <row r="250" spans="2:25" hidden="1" outlineLevel="1">
      <c r="B250" s="104"/>
      <c r="C250" s="143" t="s">
        <v>556</v>
      </c>
      <c r="D250" s="143"/>
      <c r="E250" s="142"/>
      <c r="F250" s="51"/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3"/>
      <c r="Y250" s="53"/>
    </row>
    <row r="251" spans="2:25" hidden="1" outlineLevel="1">
      <c r="B251" s="104" t="s">
        <v>557</v>
      </c>
      <c r="C251" s="104" t="str">
        <f>C10</f>
        <v>0x00</v>
      </c>
      <c r="D251" s="104" t="str">
        <f t="shared" ref="D251:D256" si="11">MID(C251,3,2)</f>
        <v>00</v>
      </c>
      <c r="E251" s="51"/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3"/>
      <c r="Y251" s="53"/>
    </row>
    <row r="252" spans="2:25" hidden="1" outlineLevel="1">
      <c r="B252" s="104"/>
      <c r="C252" s="104" t="str">
        <f>E10</f>
        <v>0x01</v>
      </c>
      <c r="D252" s="104" t="str">
        <f t="shared" si="11"/>
        <v>01</v>
      </c>
      <c r="E252" s="51"/>
      <c r="F252" s="51"/>
      <c r="G252" s="51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3"/>
      <c r="Y252" s="53"/>
    </row>
    <row r="253" spans="2:25" hidden="1" outlineLevel="1">
      <c r="B253" s="104"/>
      <c r="C253" s="104" t="str">
        <f>G10</f>
        <v>0x02</v>
      </c>
      <c r="D253" s="104" t="str">
        <f t="shared" si="11"/>
        <v>02</v>
      </c>
      <c r="E253" s="51"/>
      <c r="F253" s="51"/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3"/>
      <c r="Y253" s="53"/>
    </row>
    <row r="254" spans="2:25" hidden="1" outlineLevel="1">
      <c r="B254" s="104"/>
      <c r="C254" s="104" t="str">
        <f>I10</f>
        <v>0x03</v>
      </c>
      <c r="D254" s="104" t="str">
        <f t="shared" si="11"/>
        <v>03</v>
      </c>
      <c r="E254" s="51"/>
      <c r="F254" s="51"/>
      <c r="G254" s="51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3"/>
      <c r="Y254" s="53"/>
    </row>
    <row r="255" spans="2:25" hidden="1" outlineLevel="1">
      <c r="B255" s="104"/>
      <c r="C255" s="104" t="str">
        <f>K10</f>
        <v>0x04</v>
      </c>
      <c r="D255" s="104" t="str">
        <f t="shared" si="11"/>
        <v>04</v>
      </c>
      <c r="E255" s="51"/>
      <c r="F255" s="144" t="str">
        <f>D251&amp;":"&amp;D252&amp;":"&amp;D253&amp;":"&amp;D254&amp;":"&amp;D255&amp;":"&amp;D256</f>
        <v>00:01:02:03:04:05</v>
      </c>
      <c r="G255" s="144"/>
      <c r="H255" s="144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3"/>
      <c r="Y255" s="53"/>
    </row>
    <row r="256" spans="2:25" hidden="1" outlineLevel="1">
      <c r="B256" s="104" t="s">
        <v>558</v>
      </c>
      <c r="C256" s="104" t="str">
        <f>M10</f>
        <v>0x05</v>
      </c>
      <c r="D256" s="104" t="str">
        <f t="shared" si="11"/>
        <v>05</v>
      </c>
      <c r="F256" s="237" t="str">
        <f>C256&amp;", "&amp;C255&amp;", "&amp;C254&amp;", "&amp;C253&amp;", "&amp;C252&amp;", "&amp;C251&amp;", "</f>
        <v xml:space="preserve">0x05, 0x04, 0x03, 0x02, 0x01, 0x00, </v>
      </c>
      <c r="G256" s="238"/>
      <c r="H256" s="238"/>
      <c r="I256" s="239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3"/>
      <c r="Y256" s="53"/>
    </row>
    <row r="257" spans="2:28" hidden="1" outlineLevel="1">
      <c r="B257" s="51"/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3"/>
      <c r="Y257" s="53"/>
    </row>
    <row r="258" spans="2:28" ht="15" hidden="1" outlineLevel="1">
      <c r="B258" s="141" t="s">
        <v>707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3"/>
      <c r="Y258" s="53"/>
    </row>
    <row r="259" spans="2:28" ht="15" hidden="1" outlineLevel="1" thickBot="1">
      <c r="B259" s="51" t="s">
        <v>706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3"/>
      <c r="Y259" s="53"/>
    </row>
    <row r="260" spans="2:28" ht="15" hidden="1" outlineLevel="1" thickBot="1">
      <c r="B260" s="51"/>
      <c r="C260" s="104" t="s">
        <v>645</v>
      </c>
      <c r="D260" s="145" t="s">
        <v>646</v>
      </c>
      <c r="E260" s="146" t="str">
        <f>M16</f>
        <v>Yes</v>
      </c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3"/>
      <c r="Y260" s="53"/>
    </row>
    <row r="261" spans="2:28" hidden="1" outlineLevel="1"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3"/>
      <c r="Y261" s="53"/>
    </row>
    <row r="262" spans="2:28" hidden="1" outlineLevel="1">
      <c r="B262" s="51"/>
      <c r="C262" s="51"/>
      <c r="D262" s="51"/>
      <c r="E262" s="51"/>
      <c r="F262" s="51"/>
      <c r="G262" s="51"/>
      <c r="H262" s="51"/>
      <c r="I262" s="51"/>
      <c r="J262" s="51"/>
      <c r="K262" s="105"/>
      <c r="L262" s="105"/>
      <c r="M262" s="105"/>
      <c r="N262" s="105"/>
      <c r="O262" s="105"/>
      <c r="P262" s="105"/>
      <c r="Q262" s="105"/>
      <c r="R262" s="105"/>
      <c r="S262" s="105"/>
      <c r="T262" s="105"/>
      <c r="U262" s="51"/>
      <c r="V262" s="51"/>
      <c r="W262" s="51"/>
      <c r="X262" s="53"/>
      <c r="Y262" s="53"/>
    </row>
    <row r="263" spans="2:28" ht="15" hidden="1" outlineLevel="1" thickBot="1">
      <c r="B263" s="51" t="s">
        <v>662</v>
      </c>
      <c r="C263" s="51" t="s">
        <v>628</v>
      </c>
      <c r="D263" s="51"/>
      <c r="E263" s="51"/>
      <c r="F263" s="51"/>
      <c r="G263" s="51"/>
      <c r="H263" s="51"/>
      <c r="I263" s="51"/>
      <c r="J263" s="51"/>
      <c r="K263" s="105"/>
      <c r="L263" s="105"/>
      <c r="M263" s="105"/>
      <c r="N263" s="105"/>
      <c r="O263" s="105"/>
      <c r="P263" s="105"/>
      <c r="Q263" s="105"/>
      <c r="R263" s="105"/>
      <c r="S263" s="105"/>
      <c r="T263" s="105"/>
      <c r="U263" s="51"/>
      <c r="V263" s="51"/>
      <c r="W263" s="51"/>
      <c r="X263" s="53"/>
      <c r="Y263" s="53"/>
    </row>
    <row r="264" spans="2:28" hidden="1" outlineLevel="1">
      <c r="B264" s="51"/>
      <c r="C264" s="147" t="str">
        <f t="shared" ref="C264:J267" si="12">MID($C$263,C238,1)</f>
        <v>a</v>
      </c>
      <c r="D264" s="148" t="str">
        <f t="shared" si="12"/>
        <v>p</v>
      </c>
      <c r="E264" s="148" t="str">
        <f t="shared" si="12"/>
        <v>p</v>
      </c>
      <c r="F264" s="148" t="str">
        <f t="shared" si="12"/>
        <v>l</v>
      </c>
      <c r="G264" s="148" t="str">
        <f t="shared" si="12"/>
        <v>i</v>
      </c>
      <c r="H264" s="148" t="str">
        <f t="shared" si="12"/>
        <v>c</v>
      </c>
      <c r="I264" s="148" t="str">
        <f t="shared" si="12"/>
        <v>a</v>
      </c>
      <c r="J264" s="149" t="str">
        <f t="shared" si="12"/>
        <v>t</v>
      </c>
      <c r="K264" s="105"/>
      <c r="L264" s="150" t="str">
        <f>IF(ISERR(CODE(C264)),"","0x"&amp;DEC2HEX(CODE(C264))&amp;", ")</f>
        <v xml:space="preserve">0x61, </v>
      </c>
      <c r="M264" s="151" t="str">
        <f t="shared" ref="M264:M267" si="13">IF(ISERR(CODE(D264)),"","0x"&amp;DEC2HEX(CODE(D264))&amp;", ")</f>
        <v xml:space="preserve">0x70, </v>
      </c>
      <c r="N264" s="151" t="str">
        <f t="shared" ref="N264:N267" si="14">IF(ISERR(CODE(E264)),"","0x"&amp;DEC2HEX(CODE(E264))&amp;", ")</f>
        <v xml:space="preserve">0x70, </v>
      </c>
      <c r="O264" s="151" t="str">
        <f t="shared" ref="O264:O267" si="15">IF(ISERR(CODE(F264)),"","0x"&amp;DEC2HEX(CODE(F264))&amp;", ")</f>
        <v xml:space="preserve">0x6C, </v>
      </c>
      <c r="P264" s="151" t="str">
        <f t="shared" ref="P264:P267" si="16">IF(ISERR(CODE(G264)),"","0x"&amp;DEC2HEX(CODE(G264))&amp;", ")</f>
        <v xml:space="preserve">0x69, </v>
      </c>
      <c r="Q264" s="151" t="str">
        <f t="shared" ref="Q264:Q267" si="17">IF(ISERR(CODE(H264)),"","0x"&amp;DEC2HEX(CODE(H264))&amp;", ")</f>
        <v xml:space="preserve">0x63, </v>
      </c>
      <c r="R264" s="151" t="str">
        <f t="shared" ref="R264:R267" si="18">IF(ISERR(CODE(I264)),"","0x"&amp;DEC2HEX(CODE(I264))&amp;", ")</f>
        <v xml:space="preserve">0x61, </v>
      </c>
      <c r="S264" s="152" t="str">
        <f t="shared" ref="S264:S266" si="19">IF(ISERR(CODE(J264)),"","0x"&amp;DEC2HEX(CODE(J264))&amp;", ")</f>
        <v xml:space="preserve">0x74, </v>
      </c>
      <c r="T264" s="105"/>
      <c r="U264" s="104"/>
      <c r="V264" s="104"/>
      <c r="W264" s="104"/>
      <c r="X264" s="104"/>
      <c r="Y264" s="104"/>
      <c r="Z264" s="153"/>
      <c r="AA264" s="153"/>
      <c r="AB264" s="153"/>
    </row>
    <row r="265" spans="2:28" hidden="1" outlineLevel="1">
      <c r="B265" s="51"/>
      <c r="C265" s="154" t="str">
        <f t="shared" si="12"/>
        <v>i</v>
      </c>
      <c r="D265" s="104" t="str">
        <f t="shared" si="12"/>
        <v>o</v>
      </c>
      <c r="E265" s="104" t="str">
        <f t="shared" si="12"/>
        <v>n</v>
      </c>
      <c r="F265" s="104" t="str">
        <f t="shared" si="12"/>
        <v>/</v>
      </c>
      <c r="G265" s="104" t="str">
        <f t="shared" si="12"/>
        <v>v</v>
      </c>
      <c r="H265" s="104" t="str">
        <f t="shared" si="12"/>
        <v>n</v>
      </c>
      <c r="I265" s="104" t="str">
        <f t="shared" si="12"/>
        <v>d</v>
      </c>
      <c r="J265" s="155" t="str">
        <f t="shared" si="12"/>
        <v>.</v>
      </c>
      <c r="K265" s="105"/>
      <c r="L265" s="156" t="str">
        <f t="shared" ref="L265:L266" si="20">IF(ISERR(CODE(C265)),"","0x"&amp;DEC2HEX(CODE(C265))&amp;", ")</f>
        <v xml:space="preserve">0x69, </v>
      </c>
      <c r="M265" s="105" t="str">
        <f t="shared" si="13"/>
        <v xml:space="preserve">0x6F, </v>
      </c>
      <c r="N265" s="105" t="str">
        <f t="shared" si="14"/>
        <v xml:space="preserve">0x6E, </v>
      </c>
      <c r="O265" s="105" t="str">
        <f t="shared" si="15"/>
        <v xml:space="preserve">0x2F, </v>
      </c>
      <c r="P265" s="105" t="str">
        <f t="shared" si="16"/>
        <v xml:space="preserve">0x76, </v>
      </c>
      <c r="Q265" s="105" t="str">
        <f t="shared" si="17"/>
        <v xml:space="preserve">0x6E, </v>
      </c>
      <c r="R265" s="105" t="str">
        <f t="shared" si="18"/>
        <v xml:space="preserve">0x64, </v>
      </c>
      <c r="S265" s="157" t="str">
        <f t="shared" si="19"/>
        <v xml:space="preserve">0x2E, </v>
      </c>
      <c r="T265" s="105"/>
      <c r="U265" s="104"/>
      <c r="V265" s="104"/>
      <c r="W265" s="104"/>
      <c r="X265" s="104"/>
      <c r="Y265" s="104"/>
      <c r="Z265" s="153"/>
      <c r="AA265" s="153"/>
      <c r="AB265" s="153"/>
    </row>
    <row r="266" spans="2:28" hidden="1" outlineLevel="1">
      <c r="B266" s="51"/>
      <c r="C266" s="154" t="str">
        <f t="shared" si="12"/>
        <v>b</v>
      </c>
      <c r="D266" s="104" t="str">
        <f t="shared" si="12"/>
        <v>l</v>
      </c>
      <c r="E266" s="104" t="str">
        <f t="shared" si="12"/>
        <v>u</v>
      </c>
      <c r="F266" s="104" t="str">
        <f t="shared" si="12"/>
        <v>e</v>
      </c>
      <c r="G266" s="104" t="str">
        <f t="shared" si="12"/>
        <v>t</v>
      </c>
      <c r="H266" s="104" t="str">
        <f t="shared" si="12"/>
        <v>o</v>
      </c>
      <c r="I266" s="104" t="str">
        <f t="shared" si="12"/>
        <v>o</v>
      </c>
      <c r="J266" s="155" t="str">
        <f t="shared" si="12"/>
        <v>t</v>
      </c>
      <c r="K266" s="105"/>
      <c r="L266" s="156" t="str">
        <f t="shared" si="20"/>
        <v xml:space="preserve">0x62, </v>
      </c>
      <c r="M266" s="105" t="str">
        <f t="shared" si="13"/>
        <v xml:space="preserve">0x6C, </v>
      </c>
      <c r="N266" s="105" t="str">
        <f t="shared" si="14"/>
        <v xml:space="preserve">0x75, </v>
      </c>
      <c r="O266" s="105" t="str">
        <f t="shared" si="15"/>
        <v xml:space="preserve">0x65, </v>
      </c>
      <c r="P266" s="105" t="str">
        <f t="shared" si="16"/>
        <v xml:space="preserve">0x74, </v>
      </c>
      <c r="Q266" s="105" t="str">
        <f t="shared" si="17"/>
        <v xml:space="preserve">0x6F, </v>
      </c>
      <c r="R266" s="105" t="str">
        <f t="shared" si="18"/>
        <v xml:space="preserve">0x6F, </v>
      </c>
      <c r="S266" s="157" t="str">
        <f t="shared" si="19"/>
        <v xml:space="preserve">0x74, </v>
      </c>
      <c r="T266" s="105"/>
      <c r="U266" s="104"/>
      <c r="V266" s="104"/>
      <c r="W266" s="104"/>
      <c r="X266" s="104"/>
      <c r="Y266" s="104"/>
      <c r="Z266" s="153"/>
      <c r="AA266" s="153"/>
      <c r="AB266" s="153"/>
    </row>
    <row r="267" spans="2:28" ht="15" hidden="1" outlineLevel="1" thickBot="1">
      <c r="B267" s="51"/>
      <c r="C267" s="158" t="str">
        <f t="shared" si="12"/>
        <v>h</v>
      </c>
      <c r="D267" s="159" t="str">
        <f t="shared" si="12"/>
        <v>.</v>
      </c>
      <c r="E267" s="159" t="str">
        <f t="shared" si="12"/>
        <v>e</v>
      </c>
      <c r="F267" s="159" t="str">
        <f t="shared" si="12"/>
        <v>p</v>
      </c>
      <c r="G267" s="159" t="str">
        <f t="shared" si="12"/>
        <v>.</v>
      </c>
      <c r="H267" s="159" t="str">
        <f t="shared" si="12"/>
        <v>o</v>
      </c>
      <c r="I267" s="159" t="str">
        <f t="shared" si="12"/>
        <v>o</v>
      </c>
      <c r="J267" s="160" t="str">
        <f t="shared" si="12"/>
        <v>b</v>
      </c>
      <c r="K267" s="105"/>
      <c r="L267" s="161" t="str">
        <f>IF(ISERR(CODE(C267)),"","0x"&amp;DEC2HEX(CODE(C267))&amp;", ")</f>
        <v xml:space="preserve">0x68, </v>
      </c>
      <c r="M267" s="162" t="str">
        <f t="shared" si="13"/>
        <v xml:space="preserve">0x2E, </v>
      </c>
      <c r="N267" s="162" t="str">
        <f t="shared" si="14"/>
        <v xml:space="preserve">0x65, </v>
      </c>
      <c r="O267" s="162" t="str">
        <f t="shared" si="15"/>
        <v xml:space="preserve">0x70, </v>
      </c>
      <c r="P267" s="162" t="str">
        <f t="shared" si="16"/>
        <v xml:space="preserve">0x2E, </v>
      </c>
      <c r="Q267" s="162" t="str">
        <f t="shared" si="17"/>
        <v xml:space="preserve">0x6F, </v>
      </c>
      <c r="R267" s="162" t="str">
        <f t="shared" si="18"/>
        <v xml:space="preserve">0x6F, </v>
      </c>
      <c r="S267" s="163" t="str">
        <f>IF(ISERR(CODE(J267)),"","0x"&amp;DEC2HEX(CODE(J267))&amp;", ")</f>
        <v xml:space="preserve">0x62, </v>
      </c>
      <c r="T267" s="105"/>
      <c r="U267" s="104"/>
      <c r="V267" s="104"/>
      <c r="W267" s="104"/>
      <c r="X267" s="104"/>
      <c r="Y267" s="104"/>
      <c r="Z267" s="153"/>
      <c r="AA267" s="153"/>
      <c r="AB267" s="153"/>
    </row>
    <row r="268" spans="2:28" hidden="1" outlineLevel="1">
      <c r="B268" s="51" t="s">
        <v>566</v>
      </c>
      <c r="C268" s="51"/>
      <c r="D268" s="51"/>
      <c r="E268" s="51"/>
      <c r="F268" s="51"/>
      <c r="G268" s="51"/>
      <c r="H268" s="51"/>
      <c r="I268" s="51"/>
      <c r="J268" s="51"/>
      <c r="K268" s="105"/>
      <c r="L268" s="105"/>
      <c r="M268" s="105"/>
      <c r="N268" s="105"/>
      <c r="O268" s="105"/>
      <c r="P268" s="105"/>
      <c r="Q268" s="105"/>
      <c r="R268" s="105"/>
      <c r="S268" s="105"/>
      <c r="T268" s="105"/>
      <c r="U268" s="51"/>
      <c r="V268" s="51"/>
      <c r="W268" s="51"/>
      <c r="X268" s="53"/>
      <c r="Y268" s="53"/>
    </row>
    <row r="269" spans="2:28" ht="15" hidden="1" outlineLevel="1" thickBot="1">
      <c r="B269" s="51"/>
      <c r="C269" s="51" t="str">
        <f>D19</f>
        <v>HeadSet Name</v>
      </c>
      <c r="D269" s="51"/>
      <c r="E269" s="51"/>
      <c r="F269" s="51"/>
      <c r="G269" s="51"/>
      <c r="H269" s="51"/>
      <c r="I269" s="51"/>
      <c r="J269" s="51"/>
      <c r="K269" s="105"/>
      <c r="L269" s="105"/>
      <c r="M269" s="105"/>
      <c r="N269" s="105"/>
      <c r="O269" s="105"/>
      <c r="P269" s="105"/>
      <c r="Q269" s="105"/>
      <c r="R269" s="105"/>
      <c r="S269" s="105"/>
      <c r="T269" s="105"/>
      <c r="U269" s="51" t="s">
        <v>676</v>
      </c>
      <c r="V269" s="51"/>
      <c r="W269" s="51"/>
      <c r="X269" s="53"/>
      <c r="Y269" s="53"/>
    </row>
    <row r="270" spans="2:28" hidden="1" outlineLevel="1">
      <c r="B270" s="51"/>
      <c r="C270" s="147" t="str">
        <f t="shared" ref="C270:J273" si="21">MID($C$269,C238,1)</f>
        <v>H</v>
      </c>
      <c r="D270" s="148" t="str">
        <f t="shared" si="21"/>
        <v>e</v>
      </c>
      <c r="E270" s="148" t="str">
        <f t="shared" si="21"/>
        <v>a</v>
      </c>
      <c r="F270" s="148" t="str">
        <f t="shared" si="21"/>
        <v>d</v>
      </c>
      <c r="G270" s="148" t="str">
        <f t="shared" si="21"/>
        <v>S</v>
      </c>
      <c r="H270" s="148" t="str">
        <f t="shared" si="21"/>
        <v>e</v>
      </c>
      <c r="I270" s="148" t="str">
        <f t="shared" si="21"/>
        <v>t</v>
      </c>
      <c r="J270" s="149" t="str">
        <f t="shared" si="21"/>
        <v xml:space="preserve"> </v>
      </c>
      <c r="K270" s="105"/>
      <c r="L270" s="150" t="str">
        <f>IF(ISERR(CODE(C270)),"","0x"&amp;DEC2HEX(CODE(C270))&amp;", ")</f>
        <v xml:space="preserve">0x48, </v>
      </c>
      <c r="M270" s="151" t="str">
        <f t="shared" ref="M270:S273" si="22">IF(ISERR(CODE(D270)),"","0x"&amp;DEC2HEX(CODE(D270))&amp;", ")</f>
        <v xml:space="preserve">0x65, </v>
      </c>
      <c r="N270" s="151" t="str">
        <f t="shared" si="22"/>
        <v xml:space="preserve">0x61, </v>
      </c>
      <c r="O270" s="151" t="str">
        <f t="shared" si="22"/>
        <v xml:space="preserve">0x64, </v>
      </c>
      <c r="P270" s="151" t="str">
        <f t="shared" si="22"/>
        <v xml:space="preserve">0x53, </v>
      </c>
      <c r="Q270" s="151" t="str">
        <f t="shared" si="22"/>
        <v xml:space="preserve">0x65, </v>
      </c>
      <c r="R270" s="151" t="str">
        <f t="shared" si="22"/>
        <v xml:space="preserve">0x74, </v>
      </c>
      <c r="S270" s="152" t="str">
        <f t="shared" si="22"/>
        <v xml:space="preserve">0x20, </v>
      </c>
      <c r="T270" s="105"/>
      <c r="U270" s="104" t="str">
        <f>IF($E$260="Yes",L270,"")</f>
        <v xml:space="preserve">0x48, </v>
      </c>
      <c r="V270" s="104" t="str">
        <f t="shared" ref="V270:AB273" si="23">IF($E$260="Yes",M270,"")</f>
        <v xml:space="preserve">0x65, </v>
      </c>
      <c r="W270" s="104" t="str">
        <f t="shared" si="23"/>
        <v xml:space="preserve">0x61, </v>
      </c>
      <c r="X270" s="104" t="str">
        <f t="shared" si="23"/>
        <v xml:space="preserve">0x64, </v>
      </c>
      <c r="Y270" s="104" t="str">
        <f t="shared" si="23"/>
        <v xml:space="preserve">0x53, </v>
      </c>
      <c r="Z270" s="104" t="str">
        <f t="shared" si="23"/>
        <v xml:space="preserve">0x65, </v>
      </c>
      <c r="AA270" s="104" t="str">
        <f t="shared" si="23"/>
        <v xml:space="preserve">0x74, </v>
      </c>
      <c r="AB270" s="104" t="str">
        <f t="shared" si="23"/>
        <v xml:space="preserve">0x20, </v>
      </c>
    </row>
    <row r="271" spans="2:28" hidden="1" outlineLevel="1">
      <c r="B271" s="51"/>
      <c r="C271" s="154" t="str">
        <f t="shared" si="21"/>
        <v>N</v>
      </c>
      <c r="D271" s="104" t="str">
        <f t="shared" si="21"/>
        <v>a</v>
      </c>
      <c r="E271" s="104" t="str">
        <f t="shared" si="21"/>
        <v>m</v>
      </c>
      <c r="F271" s="104" t="str">
        <f t="shared" si="21"/>
        <v>e</v>
      </c>
      <c r="G271" s="104" t="str">
        <f t="shared" si="21"/>
        <v/>
      </c>
      <c r="H271" s="104" t="str">
        <f t="shared" si="21"/>
        <v/>
      </c>
      <c r="I271" s="104" t="str">
        <f t="shared" si="21"/>
        <v/>
      </c>
      <c r="J271" s="155" t="str">
        <f t="shared" si="21"/>
        <v/>
      </c>
      <c r="K271" s="105"/>
      <c r="L271" s="156" t="str">
        <f t="shared" ref="L271:L273" si="24">IF(ISERR(CODE(C271)),"","0x"&amp;DEC2HEX(CODE(C271))&amp;", ")</f>
        <v xml:space="preserve">0x4E, </v>
      </c>
      <c r="M271" s="105" t="str">
        <f t="shared" si="22"/>
        <v xml:space="preserve">0x61, </v>
      </c>
      <c r="N271" s="105" t="str">
        <f t="shared" si="22"/>
        <v xml:space="preserve">0x6D, </v>
      </c>
      <c r="O271" s="105" t="str">
        <f t="shared" si="22"/>
        <v xml:space="preserve">0x65, </v>
      </c>
      <c r="P271" s="105" t="str">
        <f t="shared" si="22"/>
        <v/>
      </c>
      <c r="Q271" s="105" t="str">
        <f t="shared" si="22"/>
        <v/>
      </c>
      <c r="R271" s="105" t="str">
        <f t="shared" si="22"/>
        <v/>
      </c>
      <c r="S271" s="157" t="str">
        <f t="shared" si="22"/>
        <v/>
      </c>
      <c r="T271" s="105"/>
      <c r="U271" s="104" t="str">
        <f t="shared" ref="U271:U273" si="25">IF($E$260="Yes",L271,"")</f>
        <v xml:space="preserve">0x4E, </v>
      </c>
      <c r="V271" s="104" t="str">
        <f t="shared" si="23"/>
        <v xml:space="preserve">0x61, </v>
      </c>
      <c r="W271" s="104" t="str">
        <f t="shared" si="23"/>
        <v xml:space="preserve">0x6D, </v>
      </c>
      <c r="X271" s="104" t="str">
        <f t="shared" si="23"/>
        <v xml:space="preserve">0x65, </v>
      </c>
      <c r="Y271" s="104" t="str">
        <f t="shared" si="23"/>
        <v/>
      </c>
      <c r="Z271" s="104" t="str">
        <f t="shared" si="23"/>
        <v/>
      </c>
      <c r="AA271" s="104" t="str">
        <f t="shared" si="23"/>
        <v/>
      </c>
      <c r="AB271" s="104" t="str">
        <f t="shared" si="23"/>
        <v/>
      </c>
    </row>
    <row r="272" spans="2:28" hidden="1" outlineLevel="1">
      <c r="B272" s="51"/>
      <c r="C272" s="154" t="str">
        <f t="shared" si="21"/>
        <v/>
      </c>
      <c r="D272" s="104" t="str">
        <f t="shared" si="21"/>
        <v/>
      </c>
      <c r="E272" s="104" t="str">
        <f t="shared" si="21"/>
        <v/>
      </c>
      <c r="F272" s="104" t="str">
        <f t="shared" si="21"/>
        <v/>
      </c>
      <c r="G272" s="104" t="str">
        <f t="shared" si="21"/>
        <v/>
      </c>
      <c r="H272" s="104" t="str">
        <f t="shared" si="21"/>
        <v/>
      </c>
      <c r="I272" s="104" t="str">
        <f t="shared" si="21"/>
        <v/>
      </c>
      <c r="J272" s="155" t="str">
        <f t="shared" si="21"/>
        <v/>
      </c>
      <c r="K272" s="105"/>
      <c r="L272" s="156" t="str">
        <f t="shared" si="24"/>
        <v/>
      </c>
      <c r="M272" s="105" t="str">
        <f t="shared" si="22"/>
        <v/>
      </c>
      <c r="N272" s="105" t="str">
        <f t="shared" si="22"/>
        <v/>
      </c>
      <c r="O272" s="105" t="str">
        <f t="shared" si="22"/>
        <v/>
      </c>
      <c r="P272" s="105" t="str">
        <f t="shared" si="22"/>
        <v/>
      </c>
      <c r="Q272" s="105" t="str">
        <f t="shared" si="22"/>
        <v/>
      </c>
      <c r="R272" s="105" t="str">
        <f t="shared" si="22"/>
        <v/>
      </c>
      <c r="S272" s="157" t="str">
        <f t="shared" si="22"/>
        <v/>
      </c>
      <c r="T272" s="105"/>
      <c r="U272" s="104" t="str">
        <f t="shared" si="25"/>
        <v/>
      </c>
      <c r="V272" s="104" t="str">
        <f t="shared" si="23"/>
        <v/>
      </c>
      <c r="W272" s="104" t="str">
        <f t="shared" si="23"/>
        <v/>
      </c>
      <c r="X272" s="104" t="str">
        <f t="shared" si="23"/>
        <v/>
      </c>
      <c r="Y272" s="104" t="str">
        <f t="shared" si="23"/>
        <v/>
      </c>
      <c r="Z272" s="104" t="str">
        <f t="shared" si="23"/>
        <v/>
      </c>
      <c r="AA272" s="104" t="str">
        <f t="shared" si="23"/>
        <v/>
      </c>
      <c r="AB272" s="104" t="str">
        <f t="shared" si="23"/>
        <v/>
      </c>
    </row>
    <row r="273" spans="2:28" ht="15" hidden="1" outlineLevel="1" thickBot="1">
      <c r="B273" s="51"/>
      <c r="C273" s="158" t="str">
        <f t="shared" si="21"/>
        <v/>
      </c>
      <c r="D273" s="159" t="str">
        <f t="shared" si="21"/>
        <v/>
      </c>
      <c r="E273" s="159" t="str">
        <f t="shared" si="21"/>
        <v/>
      </c>
      <c r="F273" s="159" t="str">
        <f t="shared" si="21"/>
        <v/>
      </c>
      <c r="G273" s="159" t="str">
        <f t="shared" si="21"/>
        <v/>
      </c>
      <c r="H273" s="159" t="str">
        <f t="shared" si="21"/>
        <v/>
      </c>
      <c r="I273" s="159" t="str">
        <f t="shared" si="21"/>
        <v/>
      </c>
      <c r="J273" s="160" t="str">
        <f t="shared" si="21"/>
        <v/>
      </c>
      <c r="K273" s="105"/>
      <c r="L273" s="161" t="str">
        <f t="shared" si="24"/>
        <v/>
      </c>
      <c r="M273" s="162" t="str">
        <f t="shared" si="22"/>
        <v/>
      </c>
      <c r="N273" s="162" t="str">
        <f t="shared" si="22"/>
        <v/>
      </c>
      <c r="O273" s="162" t="str">
        <f t="shared" si="22"/>
        <v/>
      </c>
      <c r="P273" s="162" t="str">
        <f t="shared" si="22"/>
        <v/>
      </c>
      <c r="Q273" s="162" t="str">
        <f t="shared" si="22"/>
        <v/>
      </c>
      <c r="R273" s="162" t="str">
        <f t="shared" si="22"/>
        <v/>
      </c>
      <c r="S273" s="163" t="str">
        <f t="shared" si="22"/>
        <v/>
      </c>
      <c r="T273" s="105"/>
      <c r="U273" s="104" t="str">
        <f t="shared" si="25"/>
        <v/>
      </c>
      <c r="V273" s="104" t="str">
        <f t="shared" si="23"/>
        <v/>
      </c>
      <c r="W273" s="104" t="str">
        <f t="shared" si="23"/>
        <v/>
      </c>
      <c r="X273" s="104" t="str">
        <f t="shared" si="23"/>
        <v/>
      </c>
      <c r="Y273" s="104" t="str">
        <f t="shared" si="23"/>
        <v/>
      </c>
      <c r="Z273" s="104" t="str">
        <f t="shared" si="23"/>
        <v/>
      </c>
      <c r="AA273" s="104" t="str">
        <f t="shared" si="23"/>
        <v/>
      </c>
      <c r="AB273" s="104" t="str">
        <f t="shared" si="23"/>
        <v/>
      </c>
    </row>
    <row r="274" spans="2:28" ht="15" hidden="1" outlineLevel="1" thickBot="1">
      <c r="B274" s="51"/>
      <c r="C274" s="51"/>
      <c r="D274" s="51"/>
      <c r="E274" s="51"/>
      <c r="F274" s="51"/>
      <c r="G274" s="51"/>
      <c r="H274" s="51"/>
      <c r="I274" s="51" t="s">
        <v>676</v>
      </c>
      <c r="J274" s="51"/>
      <c r="K274" s="105"/>
      <c r="L274" s="105"/>
      <c r="M274" s="105"/>
      <c r="N274" s="105"/>
      <c r="O274" s="105" t="s">
        <v>676</v>
      </c>
      <c r="P274" s="105"/>
      <c r="Q274" s="105"/>
      <c r="R274" s="105"/>
      <c r="S274" s="105"/>
      <c r="T274" s="105"/>
      <c r="U274" s="51"/>
      <c r="V274" s="51"/>
      <c r="W274" s="51"/>
      <c r="X274" s="53"/>
      <c r="Y274" s="53"/>
    </row>
    <row r="275" spans="2:28" ht="15" hidden="1" outlineLevel="1" thickBot="1">
      <c r="B275" s="51"/>
      <c r="C275" s="164" t="s">
        <v>670</v>
      </c>
      <c r="D275" s="164"/>
      <c r="E275" s="164">
        <f>COUNTA(L270:S273)-COUNTIF(L270:S273,"")</f>
        <v>12</v>
      </c>
      <c r="F275" s="165" t="s">
        <v>673</v>
      </c>
      <c r="G275" s="105">
        <f>E275+1</f>
        <v>13</v>
      </c>
      <c r="H275" s="51" t="str">
        <f>"0x"&amp;DEC2HEX(G275,2)&amp;", "</f>
        <v xml:space="preserve">0x0D, </v>
      </c>
      <c r="I275" s="146" t="str">
        <f>IF(E260="Yes",H275,"")</f>
        <v xml:space="preserve">0x0D, </v>
      </c>
      <c r="J275" s="51"/>
      <c r="K275" s="105"/>
      <c r="L275" s="105" t="s">
        <v>674</v>
      </c>
      <c r="M275" s="105"/>
      <c r="N275" s="105" t="s">
        <v>675</v>
      </c>
      <c r="O275" s="105" t="str">
        <f>IF(E260="Yes",N275,"")</f>
        <v xml:space="preserve">0x09, </v>
      </c>
      <c r="P275" s="105"/>
      <c r="Q275" s="105"/>
      <c r="R275" s="105"/>
      <c r="S275" s="105"/>
      <c r="T275" s="105"/>
      <c r="U275" s="51"/>
      <c r="V275" s="51"/>
      <c r="W275" s="51"/>
      <c r="X275" s="53"/>
      <c r="Y275" s="53"/>
    </row>
    <row r="276" spans="2:28" hidden="1" outlineLevel="1">
      <c r="B276" s="51"/>
      <c r="C276" s="51"/>
      <c r="D276" s="51"/>
      <c r="E276" s="51"/>
      <c r="F276" s="51"/>
      <c r="G276" s="51"/>
      <c r="H276" s="51"/>
      <c r="I276" s="51"/>
      <c r="J276" s="51"/>
      <c r="K276" s="105"/>
      <c r="L276" s="105"/>
      <c r="M276" s="105"/>
      <c r="N276" s="105"/>
      <c r="O276" s="105"/>
      <c r="P276" s="105"/>
      <c r="Q276" s="105"/>
      <c r="R276" s="105"/>
      <c r="S276" s="105"/>
      <c r="T276" s="105"/>
      <c r="U276" s="51"/>
      <c r="V276" s="51"/>
      <c r="W276" s="51"/>
      <c r="X276" s="53"/>
      <c r="Y276" s="53"/>
    </row>
    <row r="277" spans="2:28" hidden="1" outlineLevel="1">
      <c r="B277" s="51"/>
      <c r="C277" s="51"/>
      <c r="D277" s="51"/>
      <c r="E277" s="51"/>
      <c r="F277" s="51"/>
      <c r="G277" s="51"/>
      <c r="H277" s="51"/>
      <c r="I277" s="51"/>
      <c r="J277" s="51"/>
      <c r="K277" s="105"/>
      <c r="L277" s="105"/>
      <c r="M277" s="105"/>
      <c r="N277" s="105"/>
      <c r="O277" s="105"/>
      <c r="P277" s="105"/>
      <c r="Q277" s="105"/>
      <c r="R277" s="105"/>
      <c r="S277" s="105"/>
      <c r="T277" s="105"/>
      <c r="U277" s="51"/>
      <c r="V277" s="51"/>
      <c r="W277" s="51"/>
      <c r="X277" s="53"/>
      <c r="Y277" s="53"/>
    </row>
    <row r="278" spans="2:28" ht="15.75" hidden="1" outlineLevel="1" thickBot="1">
      <c r="B278" s="141" t="s">
        <v>708</v>
      </c>
      <c r="C278" s="51"/>
      <c r="D278" s="51"/>
      <c r="E278" s="51"/>
      <c r="F278" s="51"/>
      <c r="G278" s="51"/>
      <c r="H278" s="51"/>
      <c r="I278" s="51"/>
      <c r="J278" s="51"/>
      <c r="K278" s="105"/>
      <c r="L278" s="105"/>
      <c r="M278" s="105"/>
      <c r="N278" s="105"/>
      <c r="O278" s="105"/>
      <c r="P278" s="105"/>
      <c r="Q278" s="105"/>
      <c r="R278" s="105"/>
      <c r="S278" s="105"/>
      <c r="T278" s="105"/>
      <c r="U278" s="51"/>
      <c r="V278" s="51"/>
      <c r="W278" s="51"/>
      <c r="X278" s="53"/>
      <c r="Y278" s="53"/>
    </row>
    <row r="279" spans="2:28" ht="15" hidden="1" outlineLevel="1" thickBot="1">
      <c r="B279" s="51" t="s">
        <v>650</v>
      </c>
      <c r="C279" s="104" t="s">
        <v>645</v>
      </c>
      <c r="D279" s="145" t="s">
        <v>651</v>
      </c>
      <c r="E279" s="146" t="str">
        <f>M26</f>
        <v>Yes</v>
      </c>
      <c r="F279" s="51"/>
      <c r="G279" s="51"/>
      <c r="H279" s="51"/>
      <c r="I279" s="51"/>
      <c r="J279" s="51"/>
      <c r="K279" s="105"/>
      <c r="L279" s="105"/>
      <c r="M279" s="105"/>
      <c r="N279" s="105"/>
      <c r="O279" s="105"/>
      <c r="P279" s="105"/>
      <c r="Q279" s="105"/>
      <c r="R279" s="105"/>
      <c r="S279" s="105"/>
      <c r="T279" s="105"/>
      <c r="U279" s="51"/>
      <c r="V279" s="51"/>
      <c r="W279" s="51"/>
      <c r="X279" s="53"/>
      <c r="Y279" s="53"/>
    </row>
    <row r="280" spans="2:28" hidden="1" outlineLevel="1">
      <c r="B280" s="51"/>
      <c r="C280" s="51"/>
      <c r="D280" s="51"/>
      <c r="E280" s="51"/>
      <c r="F280" s="51"/>
      <c r="G280" s="51"/>
      <c r="H280" s="51"/>
      <c r="I280" s="51"/>
      <c r="J280" s="51"/>
      <c r="K280" s="105"/>
      <c r="L280" s="105"/>
      <c r="M280" s="105"/>
      <c r="N280" s="105"/>
      <c r="O280" s="105"/>
      <c r="P280" s="105"/>
      <c r="Q280" s="105"/>
      <c r="R280" s="105"/>
      <c r="S280" s="105"/>
      <c r="T280" s="105"/>
      <c r="U280" s="51"/>
      <c r="V280" s="51"/>
      <c r="W280" s="51"/>
      <c r="X280" s="53"/>
      <c r="Y280" s="53"/>
    </row>
    <row r="281" spans="2:28" ht="15" hidden="1" outlineLevel="1" thickBot="1">
      <c r="B281" s="51"/>
      <c r="C281" s="51" t="s">
        <v>680</v>
      </c>
      <c r="D281" s="51" t="s">
        <v>681</v>
      </c>
      <c r="E281" s="51" t="s">
        <v>682</v>
      </c>
      <c r="F281" s="51"/>
      <c r="G281" s="51" t="s">
        <v>676</v>
      </c>
      <c r="H281" s="51"/>
      <c r="I281" s="51"/>
      <c r="J281" s="51"/>
      <c r="K281" s="105"/>
      <c r="L281" s="105"/>
      <c r="M281" s="105"/>
      <c r="N281" s="105"/>
      <c r="O281" s="105"/>
      <c r="P281" s="105"/>
      <c r="Q281" s="105"/>
      <c r="R281" s="105"/>
      <c r="S281" s="105"/>
      <c r="T281" s="105"/>
      <c r="U281" s="51"/>
      <c r="V281" s="51"/>
      <c r="W281" s="51"/>
      <c r="X281" s="53"/>
      <c r="Y281" s="53"/>
    </row>
    <row r="282" spans="2:28" ht="15" hidden="1" outlineLevel="1" thickBot="1">
      <c r="B282" s="51"/>
      <c r="C282" s="166" t="str">
        <f>M39&amp;", "</f>
        <v xml:space="preserve">0x04, </v>
      </c>
      <c r="D282" s="167" t="str">
        <f>K34&amp;", "</f>
        <v xml:space="preserve">0x04, </v>
      </c>
      <c r="E282" s="168" t="str">
        <f>K31&amp;", "</f>
        <v xml:space="preserve">0x20, </v>
      </c>
      <c r="F282" s="51"/>
      <c r="G282" s="153" t="str">
        <f>IF(E279="Yes",C282,"")</f>
        <v xml:space="preserve">0x04, </v>
      </c>
      <c r="H282" s="153" t="str">
        <f>IF(E279="Yes",D282,"")</f>
        <v xml:space="preserve">0x04, </v>
      </c>
      <c r="I282" s="153" t="str">
        <f>IF(E279="Yes",E282,"")</f>
        <v xml:space="preserve">0x20, </v>
      </c>
      <c r="J282" s="51"/>
      <c r="K282" s="105"/>
      <c r="L282" s="105"/>
      <c r="M282" s="105"/>
      <c r="N282" s="105"/>
      <c r="O282" s="105"/>
      <c r="P282" s="105"/>
      <c r="Q282" s="105"/>
      <c r="R282" s="105"/>
      <c r="S282" s="105"/>
      <c r="T282" s="105"/>
      <c r="U282" s="51"/>
      <c r="V282" s="51"/>
      <c r="W282" s="51"/>
      <c r="X282" s="53"/>
      <c r="Y282" s="53"/>
    </row>
    <row r="283" spans="2:28" hidden="1" outlineLevel="1">
      <c r="B283" s="51"/>
      <c r="C283" s="51"/>
      <c r="D283" s="51"/>
      <c r="E283" s="51"/>
      <c r="F283" s="51"/>
      <c r="G283" s="51"/>
      <c r="H283" s="51"/>
      <c r="I283" s="51"/>
      <c r="J283" s="51"/>
      <c r="K283" s="105"/>
      <c r="L283" s="105"/>
      <c r="M283" s="105"/>
      <c r="N283" s="105"/>
      <c r="O283" s="105"/>
      <c r="P283" s="105"/>
      <c r="Q283" s="105"/>
      <c r="R283" s="105"/>
      <c r="S283" s="105"/>
      <c r="T283" s="105"/>
      <c r="U283" s="51"/>
      <c r="V283" s="51"/>
      <c r="W283" s="51"/>
      <c r="X283" s="53"/>
      <c r="Y283" s="53"/>
    </row>
    <row r="284" spans="2:28" hidden="1" outlineLevel="1">
      <c r="B284" s="51"/>
      <c r="C284" s="51" t="s">
        <v>683</v>
      </c>
      <c r="D284" s="51">
        <f>4</f>
        <v>4</v>
      </c>
      <c r="E284" s="51" t="str">
        <f>"0x"&amp;DEC2HEX(D284,2)&amp;", "</f>
        <v xml:space="preserve">0x04, </v>
      </c>
      <c r="F284" s="51"/>
      <c r="G284" s="153" t="str">
        <f>IF(E279="Yes",E284,"")</f>
        <v xml:space="preserve">0x04, </v>
      </c>
      <c r="H284" s="51"/>
      <c r="I284" s="51"/>
      <c r="J284" s="51"/>
      <c r="K284" s="105"/>
      <c r="L284" s="105"/>
      <c r="M284" s="105"/>
      <c r="N284" s="105"/>
      <c r="O284" s="105"/>
      <c r="P284" s="105"/>
      <c r="Q284" s="105"/>
      <c r="R284" s="105"/>
      <c r="S284" s="105"/>
      <c r="T284" s="105"/>
      <c r="U284" s="51"/>
      <c r="V284" s="51"/>
      <c r="W284" s="51"/>
      <c r="X284" s="53"/>
      <c r="Y284" s="53"/>
    </row>
    <row r="285" spans="2:28" hidden="1" outlineLevel="1">
      <c r="B285" s="51"/>
      <c r="C285" s="51"/>
      <c r="D285" s="51"/>
      <c r="E285" s="51"/>
      <c r="F285" s="51"/>
      <c r="G285" s="51"/>
      <c r="H285" s="51"/>
      <c r="I285" s="51"/>
      <c r="J285" s="51"/>
      <c r="K285" s="105"/>
      <c r="L285" s="105"/>
      <c r="M285" s="105"/>
      <c r="N285" s="105"/>
      <c r="O285" s="105"/>
      <c r="P285" s="105"/>
      <c r="Q285" s="105"/>
      <c r="R285" s="105"/>
      <c r="S285" s="105"/>
      <c r="T285" s="105"/>
      <c r="U285" s="51"/>
      <c r="V285" s="51"/>
      <c r="W285" s="51"/>
      <c r="X285" s="53"/>
      <c r="Y285" s="53"/>
    </row>
    <row r="286" spans="2:28" hidden="1" outlineLevel="1">
      <c r="B286" s="51"/>
      <c r="C286" s="51" t="s">
        <v>684</v>
      </c>
      <c r="D286" s="51"/>
      <c r="E286" s="51" t="s">
        <v>685</v>
      </c>
      <c r="F286" s="51"/>
      <c r="G286" s="153" t="str">
        <f>IF(E279="Yes",E286,"")</f>
        <v xml:space="preserve">0x0D, </v>
      </c>
      <c r="H286" s="51"/>
      <c r="I286" s="51"/>
      <c r="J286" s="51"/>
      <c r="K286" s="105"/>
      <c r="L286" s="105"/>
      <c r="M286" s="105"/>
      <c r="N286" s="105"/>
      <c r="O286" s="105"/>
      <c r="P286" s="105"/>
      <c r="Q286" s="105"/>
      <c r="R286" s="105"/>
      <c r="S286" s="105"/>
      <c r="T286" s="105"/>
      <c r="U286" s="51"/>
      <c r="V286" s="51"/>
      <c r="W286" s="51"/>
      <c r="X286" s="53"/>
      <c r="Y286" s="53"/>
    </row>
    <row r="287" spans="2:28" hidden="1" outlineLevel="1">
      <c r="B287" s="51"/>
      <c r="C287" s="51"/>
      <c r="D287" s="51"/>
      <c r="E287" s="51"/>
      <c r="F287" s="51"/>
      <c r="G287" s="51"/>
      <c r="H287" s="51"/>
      <c r="I287" s="51"/>
      <c r="J287" s="51"/>
      <c r="K287" s="105"/>
      <c r="L287" s="105"/>
      <c r="M287" s="105"/>
      <c r="N287" s="105"/>
      <c r="O287" s="105"/>
      <c r="P287" s="105"/>
      <c r="Q287" s="105"/>
      <c r="R287" s="105"/>
      <c r="S287" s="105"/>
      <c r="T287" s="105"/>
      <c r="U287" s="51"/>
      <c r="V287" s="51"/>
      <c r="W287" s="51"/>
      <c r="X287" s="53"/>
      <c r="Y287" s="53"/>
    </row>
    <row r="288" spans="2:28" ht="15.75" hidden="1" outlineLevel="1" thickBot="1">
      <c r="B288" s="141" t="s">
        <v>709</v>
      </c>
      <c r="C288" s="51"/>
      <c r="D288" s="51"/>
      <c r="E288" s="51"/>
      <c r="F288" s="51"/>
      <c r="G288" s="51"/>
      <c r="H288" s="51"/>
      <c r="I288" s="51"/>
      <c r="J288" s="51"/>
      <c r="K288" s="105"/>
      <c r="L288" s="105"/>
      <c r="M288" s="105"/>
      <c r="N288" s="105"/>
      <c r="O288" s="105"/>
      <c r="P288" s="105"/>
      <c r="Q288" s="105"/>
      <c r="R288" s="105"/>
      <c r="S288" s="105"/>
      <c r="T288" s="105"/>
      <c r="U288" s="51"/>
      <c r="V288" s="51"/>
      <c r="W288" s="51"/>
      <c r="X288" s="53"/>
      <c r="Y288" s="53"/>
    </row>
    <row r="289" spans="2:25" ht="15" hidden="1" outlineLevel="1" thickBot="1">
      <c r="B289" s="51" t="s">
        <v>697</v>
      </c>
      <c r="C289" s="104">
        <v>0</v>
      </c>
      <c r="D289" s="104">
        <v>1</v>
      </c>
      <c r="E289" s="145">
        <v>2</v>
      </c>
      <c r="F289" s="169">
        <v>3</v>
      </c>
      <c r="G289" s="146">
        <f>M46</f>
        <v>2</v>
      </c>
      <c r="H289" s="51"/>
      <c r="I289" s="51"/>
      <c r="J289" s="51"/>
      <c r="K289" s="105"/>
      <c r="L289" s="105"/>
      <c r="M289" s="105"/>
      <c r="N289" s="105"/>
      <c r="O289" s="105"/>
      <c r="P289" s="105"/>
      <c r="Q289" s="105"/>
      <c r="R289" s="105"/>
      <c r="S289" s="105"/>
      <c r="T289" s="105"/>
      <c r="U289" s="51"/>
      <c r="V289" s="51"/>
      <c r="W289" s="51"/>
      <c r="X289" s="53"/>
      <c r="Y289" s="53"/>
    </row>
    <row r="290" spans="2:25" ht="15" hidden="1" outlineLevel="1" thickBot="1">
      <c r="B290" s="51"/>
      <c r="C290" s="51"/>
      <c r="D290" s="51"/>
      <c r="E290" s="51"/>
      <c r="F290" s="51"/>
      <c r="G290" s="51"/>
      <c r="H290" s="51"/>
      <c r="I290" s="51"/>
      <c r="J290" s="51"/>
      <c r="K290" s="105"/>
      <c r="L290" s="105"/>
      <c r="M290" s="105"/>
      <c r="N290" s="105"/>
      <c r="O290" s="105"/>
      <c r="P290" s="105"/>
      <c r="Q290" s="105"/>
      <c r="R290" s="105"/>
      <c r="S290" s="105"/>
      <c r="T290" s="105"/>
      <c r="U290" s="51"/>
      <c r="V290" s="51"/>
      <c r="W290" s="51"/>
      <c r="X290" s="53"/>
      <c r="Y290" s="53"/>
    </row>
    <row r="291" spans="2:25" ht="15" hidden="1" outlineLevel="1" thickBot="1">
      <c r="B291" s="51"/>
      <c r="C291" s="51" t="s">
        <v>690</v>
      </c>
      <c r="D291" s="51"/>
      <c r="E291" s="51">
        <f>G289*2+1</f>
        <v>5</v>
      </c>
      <c r="F291" s="51"/>
      <c r="G291" s="146" t="str">
        <f>IF(G289=0,"","0x"&amp;DEC2HEX(E291,2)&amp;", ")</f>
        <v xml:space="preserve">0x05, </v>
      </c>
      <c r="H291" s="51"/>
      <c r="I291" s="51"/>
      <c r="J291" s="51"/>
      <c r="K291" s="105"/>
      <c r="L291" s="105"/>
      <c r="M291" s="105"/>
      <c r="N291" s="105"/>
      <c r="O291" s="105"/>
      <c r="P291" s="105"/>
      <c r="Q291" s="105"/>
      <c r="R291" s="105"/>
      <c r="S291" s="105"/>
      <c r="T291" s="105"/>
      <c r="U291" s="51"/>
      <c r="V291" s="51"/>
      <c r="W291" s="51"/>
      <c r="X291" s="53"/>
      <c r="Y291" s="53"/>
    </row>
    <row r="292" spans="2:25" ht="15" hidden="1" outlineLevel="1" thickBot="1">
      <c r="B292" s="51"/>
      <c r="C292" s="51"/>
      <c r="D292" s="51"/>
      <c r="E292" s="51"/>
      <c r="F292" s="51"/>
      <c r="G292" s="51"/>
      <c r="H292" s="51"/>
      <c r="I292" s="51"/>
      <c r="J292" s="51"/>
      <c r="K292" s="105"/>
      <c r="L292" s="105"/>
      <c r="M292" s="105"/>
      <c r="N292" s="105"/>
      <c r="O292" s="105"/>
      <c r="P292" s="105"/>
      <c r="Q292" s="105"/>
      <c r="R292" s="105"/>
      <c r="S292" s="105"/>
      <c r="T292" s="105"/>
      <c r="U292" s="51"/>
      <c r="V292" s="51"/>
      <c r="W292" s="51"/>
      <c r="X292" s="53"/>
      <c r="Y292" s="53"/>
    </row>
    <row r="293" spans="2:25" ht="15" hidden="1" outlineLevel="1" thickBot="1">
      <c r="B293" s="51"/>
      <c r="C293" s="51" t="s">
        <v>698</v>
      </c>
      <c r="D293" s="51"/>
      <c r="E293" s="146" t="str">
        <f>IF(G289&gt;0, "0x03, ","")</f>
        <v xml:space="preserve">0x03, </v>
      </c>
      <c r="F293" s="51"/>
      <c r="G293" s="51"/>
      <c r="H293" s="51"/>
      <c r="I293" s="51"/>
      <c r="J293" s="51"/>
      <c r="K293" s="105"/>
      <c r="L293" s="105"/>
      <c r="M293" s="105"/>
      <c r="N293" s="105"/>
      <c r="O293" s="105"/>
      <c r="P293" s="105"/>
      <c r="Q293" s="105"/>
      <c r="R293" s="105"/>
      <c r="S293" s="105"/>
      <c r="T293" s="105"/>
      <c r="U293" s="51"/>
      <c r="V293" s="51"/>
      <c r="W293" s="51"/>
      <c r="X293" s="53"/>
      <c r="Y293" s="53"/>
    </row>
    <row r="294" spans="2:25" hidden="1" outlineLevel="1">
      <c r="B294" s="51"/>
      <c r="C294" s="51"/>
      <c r="D294" s="51"/>
      <c r="E294" s="51"/>
      <c r="F294" s="51"/>
      <c r="G294" s="51"/>
      <c r="H294" s="51"/>
      <c r="I294" s="51"/>
      <c r="J294" s="51"/>
      <c r="K294" s="105"/>
      <c r="L294" s="105"/>
      <c r="M294" s="105"/>
      <c r="N294" s="105"/>
      <c r="O294" s="105"/>
      <c r="P294" s="105"/>
      <c r="Q294" s="105"/>
      <c r="R294" s="105"/>
      <c r="S294" s="105"/>
      <c r="T294" s="105"/>
      <c r="U294" s="51"/>
      <c r="V294" s="51"/>
      <c r="W294" s="51"/>
      <c r="X294" s="53"/>
      <c r="Y294" s="53"/>
    </row>
    <row r="295" spans="2:25" ht="15" hidden="1" outlineLevel="1" thickBot="1">
      <c r="B295" s="51"/>
      <c r="C295" s="104"/>
      <c r="D295" s="104"/>
      <c r="E295" s="104" t="s">
        <v>702</v>
      </c>
      <c r="F295" s="104" t="s">
        <v>703</v>
      </c>
      <c r="G295" s="51"/>
      <c r="H295" s="51" t="s">
        <v>704</v>
      </c>
      <c r="I295" s="51"/>
      <c r="J295" s="51"/>
      <c r="K295" s="105"/>
      <c r="L295" s="105"/>
      <c r="M295" s="105"/>
      <c r="N295" s="105"/>
      <c r="O295" s="105"/>
      <c r="P295" s="105"/>
      <c r="Q295" s="105"/>
      <c r="R295" s="105"/>
      <c r="S295" s="105"/>
      <c r="T295" s="105"/>
      <c r="U295" s="51"/>
      <c r="V295" s="51"/>
      <c r="W295" s="51"/>
      <c r="X295" s="53"/>
      <c r="Y295" s="53"/>
    </row>
    <row r="296" spans="2:25" hidden="1" outlineLevel="1">
      <c r="B296" s="51"/>
      <c r="C296" s="104" t="s">
        <v>699</v>
      </c>
      <c r="D296" s="104" t="str">
        <f>K49</f>
        <v>0x111E</v>
      </c>
      <c r="E296" s="104" t="str">
        <f>"0x"&amp;MID(D296,5,2)&amp;", "</f>
        <v xml:space="preserve">0x1E, </v>
      </c>
      <c r="F296" s="104" t="str">
        <f>"0x"&amp;MID(D296,3,2)&amp;", "</f>
        <v xml:space="preserve">0x11, </v>
      </c>
      <c r="G296" s="51"/>
      <c r="H296" s="147" t="str">
        <f>IF(G289&gt;0,E296,"")</f>
        <v xml:space="preserve">0x1E, </v>
      </c>
      <c r="I296" s="149" t="str">
        <f>IF(G289&gt;0,F296,"")</f>
        <v xml:space="preserve">0x11, </v>
      </c>
      <c r="J296" s="51"/>
      <c r="K296" s="105"/>
      <c r="L296" s="105"/>
      <c r="M296" s="105"/>
      <c r="N296" s="105"/>
      <c r="O296" s="105"/>
      <c r="P296" s="105"/>
      <c r="Q296" s="105"/>
      <c r="R296" s="105"/>
      <c r="S296" s="105"/>
      <c r="T296" s="105"/>
      <c r="U296" s="51"/>
      <c r="V296" s="51"/>
      <c r="W296" s="51"/>
      <c r="X296" s="53"/>
      <c r="Y296" s="53"/>
    </row>
    <row r="297" spans="2:25" hidden="1" outlineLevel="1">
      <c r="B297" s="51"/>
      <c r="C297" s="104" t="s">
        <v>700</v>
      </c>
      <c r="D297" s="104" t="str">
        <f>K53</f>
        <v>0x110B</v>
      </c>
      <c r="E297" s="104" t="str">
        <f>"0x"&amp;MID(D297,5,2)&amp;", "</f>
        <v xml:space="preserve">0x0B, </v>
      </c>
      <c r="F297" s="104" t="str">
        <f>"0x"&amp;MID(D297,3,2)&amp;", "</f>
        <v xml:space="preserve">0x11, </v>
      </c>
      <c r="G297" s="51"/>
      <c r="H297" s="154" t="str">
        <f>IF(G289&gt;1,E297,"")</f>
        <v xml:space="preserve">0x0B, </v>
      </c>
      <c r="I297" s="155" t="str">
        <f>IF(G289&gt;1,F297,"")</f>
        <v xml:space="preserve">0x11, </v>
      </c>
      <c r="J297" s="51"/>
      <c r="K297" s="105"/>
      <c r="L297" s="105"/>
      <c r="M297" s="105"/>
      <c r="N297" s="105"/>
      <c r="O297" s="105"/>
      <c r="P297" s="105"/>
      <c r="Q297" s="105"/>
      <c r="R297" s="105"/>
      <c r="S297" s="105"/>
      <c r="T297" s="105"/>
      <c r="U297" s="51"/>
      <c r="V297" s="51"/>
      <c r="W297" s="51"/>
      <c r="X297" s="53"/>
      <c r="Y297" s="53"/>
    </row>
    <row r="298" spans="2:25" ht="15" hidden="1" outlineLevel="1" thickBot="1">
      <c r="B298" s="51"/>
      <c r="C298" s="104" t="s">
        <v>701</v>
      </c>
      <c r="D298" s="104" t="str">
        <f>K57</f>
        <v>0x0000</v>
      </c>
      <c r="E298" s="104" t="str">
        <f>"0x"&amp;MID(D298,5,2)&amp;", "</f>
        <v xml:space="preserve">0x00, </v>
      </c>
      <c r="F298" s="104" t="str">
        <f>"0x"&amp;MID(D298,3,2)&amp;", "</f>
        <v xml:space="preserve">0x00, </v>
      </c>
      <c r="G298" s="51"/>
      <c r="H298" s="158" t="str">
        <f>IF(G289&gt;2,E298,"")</f>
        <v/>
      </c>
      <c r="I298" s="160" t="str">
        <f>IF(G289&gt;2,F298,"")</f>
        <v/>
      </c>
      <c r="J298" s="51"/>
      <c r="K298" s="105"/>
      <c r="L298" s="105"/>
      <c r="M298" s="105"/>
      <c r="N298" s="105"/>
      <c r="O298" s="105"/>
      <c r="P298" s="105"/>
      <c r="Q298" s="105"/>
      <c r="R298" s="105"/>
      <c r="S298" s="105"/>
      <c r="T298" s="105"/>
      <c r="U298" s="51"/>
      <c r="V298" s="51"/>
      <c r="W298" s="51"/>
      <c r="X298" s="53"/>
      <c r="Y298" s="53"/>
    </row>
    <row r="299" spans="2:25" hidden="1" outlineLevel="1">
      <c r="B299" s="51"/>
      <c r="C299" s="51"/>
      <c r="D299" s="51"/>
      <c r="E299" s="51"/>
      <c r="F299" s="51"/>
      <c r="G299" s="51"/>
      <c r="H299" s="51"/>
      <c r="I299" s="51"/>
      <c r="J299" s="51"/>
      <c r="K299" s="105"/>
      <c r="L299" s="105"/>
      <c r="M299" s="105"/>
      <c r="N299" s="105"/>
      <c r="O299" s="105"/>
      <c r="P299" s="105"/>
      <c r="Q299" s="105"/>
      <c r="R299" s="105"/>
      <c r="S299" s="105"/>
      <c r="T299" s="105"/>
      <c r="U299" s="51"/>
      <c r="V299" s="51"/>
      <c r="W299" s="51"/>
      <c r="X299" s="53"/>
      <c r="Y299" s="53"/>
    </row>
    <row r="300" spans="2:25" ht="15.75" hidden="1" outlineLevel="1" thickBot="1">
      <c r="B300" s="141" t="s">
        <v>710</v>
      </c>
      <c r="C300" s="51"/>
      <c r="D300" s="51"/>
      <c r="E300" s="51"/>
      <c r="F300" s="51"/>
      <c r="G300" s="51"/>
      <c r="H300" s="51"/>
      <c r="I300" s="51"/>
      <c r="J300" s="51"/>
      <c r="K300" s="105"/>
      <c r="L300" s="105"/>
      <c r="M300" s="105"/>
      <c r="N300" s="105"/>
      <c r="O300" s="105"/>
      <c r="P300" s="105"/>
      <c r="Q300" s="105"/>
      <c r="R300" s="105"/>
      <c r="S300" s="105"/>
      <c r="T300" s="105"/>
      <c r="U300" s="51"/>
      <c r="V300" s="51"/>
      <c r="W300" s="51"/>
      <c r="X300" s="53"/>
      <c r="Y300" s="53"/>
    </row>
    <row r="301" spans="2:25" ht="15" hidden="1" outlineLevel="1" thickBot="1">
      <c r="B301" s="51" t="s">
        <v>622</v>
      </c>
      <c r="C301" s="104" t="s">
        <v>624</v>
      </c>
      <c r="D301" s="145" t="s">
        <v>625</v>
      </c>
      <c r="E301" s="146" t="str">
        <f>G63</f>
        <v>No</v>
      </c>
      <c r="F301" s="51"/>
      <c r="G301" s="51"/>
      <c r="H301" s="51"/>
      <c r="I301" s="51"/>
      <c r="J301" s="51"/>
      <c r="K301" s="105"/>
      <c r="L301" s="105"/>
      <c r="M301" s="105"/>
      <c r="N301" s="105"/>
      <c r="O301" s="105"/>
      <c r="P301" s="105"/>
      <c r="Q301" s="105"/>
      <c r="R301" s="105"/>
      <c r="S301" s="105"/>
      <c r="T301" s="105"/>
      <c r="U301" s="51"/>
      <c r="V301" s="51"/>
      <c r="W301" s="51"/>
      <c r="X301" s="53"/>
      <c r="Y301" s="53"/>
    </row>
    <row r="302" spans="2:25" ht="15" hidden="1" outlineLevel="1" thickBot="1">
      <c r="B302" s="51"/>
      <c r="C302" s="51"/>
      <c r="D302" s="51"/>
      <c r="E302" s="51"/>
      <c r="F302" s="51"/>
      <c r="G302" s="51"/>
      <c r="H302" s="51"/>
      <c r="I302" s="51"/>
      <c r="J302" s="51"/>
      <c r="K302" s="105"/>
      <c r="L302" s="105"/>
      <c r="M302" s="105"/>
      <c r="N302" s="105"/>
      <c r="O302" s="105"/>
      <c r="P302" s="105"/>
      <c r="Q302" s="105"/>
      <c r="R302" s="105"/>
      <c r="S302" s="105"/>
      <c r="T302" s="105"/>
      <c r="U302" s="51"/>
      <c r="V302" s="51"/>
      <c r="W302" s="51"/>
      <c r="X302" s="53"/>
      <c r="Y302" s="53"/>
    </row>
    <row r="303" spans="2:25" ht="15" hidden="1" outlineLevel="1" thickBot="1">
      <c r="B303" s="51"/>
      <c r="C303" s="104" t="s">
        <v>728</v>
      </c>
      <c r="D303" s="145" t="s">
        <v>643</v>
      </c>
      <c r="E303" s="146" t="str">
        <f>G67</f>
        <v>Text</v>
      </c>
      <c r="F303" s="51"/>
      <c r="G303" s="51"/>
      <c r="H303" s="51"/>
      <c r="I303" s="51"/>
      <c r="J303" s="51"/>
      <c r="K303" s="105"/>
      <c r="L303" s="105"/>
      <c r="M303" s="105"/>
      <c r="N303" s="105"/>
      <c r="O303" s="105"/>
      <c r="P303" s="105"/>
      <c r="Q303" s="105"/>
      <c r="R303" s="105"/>
      <c r="S303" s="105"/>
      <c r="T303" s="105"/>
      <c r="U303" s="51"/>
      <c r="V303" s="51"/>
      <c r="W303" s="51"/>
      <c r="X303" s="53"/>
      <c r="Y303" s="53"/>
    </row>
    <row r="304" spans="2:25" ht="15" hidden="1" outlineLevel="1" thickBot="1">
      <c r="B304" s="51"/>
      <c r="C304" s="51"/>
      <c r="D304" s="51"/>
      <c r="E304" s="51"/>
      <c r="F304" s="51"/>
      <c r="G304" s="51"/>
      <c r="H304" s="51"/>
      <c r="I304" s="51"/>
      <c r="J304" s="51"/>
      <c r="K304" s="105"/>
      <c r="L304" s="105"/>
      <c r="M304" s="105"/>
      <c r="N304" s="105"/>
      <c r="O304" s="105"/>
      <c r="P304" s="105"/>
      <c r="Q304" s="105"/>
      <c r="R304" s="105"/>
      <c r="S304" s="105"/>
      <c r="T304" s="105"/>
      <c r="U304" s="51"/>
      <c r="V304" s="51"/>
      <c r="W304" s="51"/>
      <c r="X304" s="53"/>
      <c r="Y304" s="53"/>
    </row>
    <row r="305" spans="2:28" ht="15" hidden="1" outlineLevel="1" thickBot="1">
      <c r="B305" s="51"/>
      <c r="C305" s="51" t="s">
        <v>721</v>
      </c>
      <c r="D305" s="51" t="str">
        <f>K65&amp;", "</f>
        <v xml:space="preserve">0xFF, </v>
      </c>
      <c r="E305" s="146" t="str">
        <f>IF(E301="Yes",D305,"")</f>
        <v/>
      </c>
      <c r="F305" s="51"/>
      <c r="G305" s="51"/>
      <c r="H305" s="51"/>
      <c r="I305" s="51"/>
      <c r="J305" s="51"/>
      <c r="K305" s="105"/>
      <c r="L305" s="105"/>
      <c r="M305" s="105"/>
      <c r="N305" s="105"/>
      <c r="O305" s="105"/>
      <c r="P305" s="105"/>
      <c r="Q305" s="105"/>
      <c r="R305" s="105"/>
      <c r="S305" s="105"/>
      <c r="T305" s="105"/>
      <c r="U305" s="51"/>
      <c r="V305" s="51"/>
      <c r="W305" s="51"/>
      <c r="X305" s="53"/>
      <c r="Y305" s="53"/>
    </row>
    <row r="306" spans="2:28" hidden="1" outlineLevel="1">
      <c r="B306" s="51"/>
      <c r="C306" s="51"/>
      <c r="D306" s="51"/>
      <c r="E306" s="51"/>
      <c r="F306" s="51"/>
      <c r="G306" s="51"/>
      <c r="H306" s="51"/>
      <c r="I306" s="51"/>
      <c r="J306" s="51"/>
      <c r="K306" s="105"/>
      <c r="L306" s="105"/>
      <c r="M306" s="105"/>
      <c r="N306" s="105"/>
      <c r="O306" s="105"/>
      <c r="P306" s="105"/>
      <c r="Q306" s="105"/>
      <c r="R306" s="105"/>
      <c r="S306" s="105"/>
      <c r="T306" s="105"/>
      <c r="U306" s="51"/>
      <c r="V306" s="51"/>
      <c r="W306" s="51"/>
      <c r="X306" s="53"/>
      <c r="Y306" s="53"/>
    </row>
    <row r="307" spans="2:28" ht="15" hidden="1" outlineLevel="1" thickBot="1">
      <c r="B307" s="51" t="s">
        <v>729</v>
      </c>
      <c r="C307" s="51">
        <f>G69</f>
        <v>0</v>
      </c>
      <c r="E307" s="51"/>
      <c r="F307" s="51"/>
      <c r="G307" s="51"/>
      <c r="H307" s="51"/>
      <c r="I307" s="51"/>
      <c r="J307" s="51"/>
      <c r="K307" s="105"/>
      <c r="L307" s="105"/>
      <c r="M307" s="105"/>
      <c r="N307" s="105"/>
      <c r="O307" s="105"/>
      <c r="P307" s="105"/>
      <c r="Q307" s="105"/>
      <c r="R307" s="105"/>
      <c r="S307" s="105"/>
      <c r="T307" s="105"/>
      <c r="U307" s="51" t="s">
        <v>730</v>
      </c>
      <c r="V307" s="51"/>
      <c r="W307" s="51"/>
      <c r="X307" s="53"/>
      <c r="Y307" s="53"/>
    </row>
    <row r="308" spans="2:28" hidden="1" outlineLevel="1">
      <c r="B308" s="51"/>
      <c r="C308" s="104" t="str">
        <f>MID($C$307,C238,1)</f>
        <v>0</v>
      </c>
      <c r="D308" s="104" t="str">
        <f t="shared" ref="D308:J308" si="26">MID($C$307,D238,1)</f>
        <v/>
      </c>
      <c r="E308" s="104" t="str">
        <f t="shared" si="26"/>
        <v/>
      </c>
      <c r="F308" s="104" t="str">
        <f t="shared" si="26"/>
        <v/>
      </c>
      <c r="G308" s="104" t="str">
        <f t="shared" si="26"/>
        <v/>
      </c>
      <c r="H308" s="104" t="str">
        <f t="shared" si="26"/>
        <v/>
      </c>
      <c r="I308" s="104" t="str">
        <f t="shared" si="26"/>
        <v/>
      </c>
      <c r="J308" s="104" t="str">
        <f t="shared" si="26"/>
        <v/>
      </c>
      <c r="K308" s="105"/>
      <c r="L308" s="150" t="str">
        <f>IF(ISERR(CODE(C308)),"","0x"&amp;DEC2HEX(CODE(C308))&amp;", ")</f>
        <v xml:space="preserve">0x30, </v>
      </c>
      <c r="M308" s="151" t="str">
        <f t="shared" ref="M308:M311" si="27">IF(ISERR(CODE(D308)),"","0x"&amp;DEC2HEX(CODE(D308))&amp;", ")</f>
        <v/>
      </c>
      <c r="N308" s="151" t="str">
        <f t="shared" ref="N308:N311" si="28">IF(ISERR(CODE(E308)),"","0x"&amp;DEC2HEX(CODE(E308))&amp;", ")</f>
        <v/>
      </c>
      <c r="O308" s="151" t="str">
        <f t="shared" ref="O308:O311" si="29">IF(ISERR(CODE(F308)),"","0x"&amp;DEC2HEX(CODE(F308))&amp;", ")</f>
        <v/>
      </c>
      <c r="P308" s="151" t="str">
        <f t="shared" ref="P308:P311" si="30">IF(ISERR(CODE(G308)),"","0x"&amp;DEC2HEX(CODE(G308))&amp;", ")</f>
        <v/>
      </c>
      <c r="Q308" s="151" t="str">
        <f t="shared" ref="Q308:Q311" si="31">IF(ISERR(CODE(H308)),"","0x"&amp;DEC2HEX(CODE(H308))&amp;", ")</f>
        <v/>
      </c>
      <c r="R308" s="151" t="str">
        <f t="shared" ref="R308:R311" si="32">IF(ISERR(CODE(I308)),"","0x"&amp;DEC2HEX(CODE(I308))&amp;", ")</f>
        <v/>
      </c>
      <c r="S308" s="152" t="str">
        <f t="shared" ref="S308:S311" si="33">IF(ISERR(CODE(J308)),"","0x"&amp;DEC2HEX(CODE(J308))&amp;", ")</f>
        <v/>
      </c>
      <c r="T308" s="105"/>
      <c r="U308" s="147" t="str">
        <f>IF($E$303="Text",L308,L314)</f>
        <v xml:space="preserve">0x30, </v>
      </c>
      <c r="V308" s="148" t="str">
        <f t="shared" ref="V308:AB311" si="34">IF($E$303="Text",M308,M314)</f>
        <v/>
      </c>
      <c r="W308" s="148" t="str">
        <f t="shared" si="34"/>
        <v/>
      </c>
      <c r="X308" s="148" t="str">
        <f t="shared" si="34"/>
        <v/>
      </c>
      <c r="Y308" s="148" t="str">
        <f t="shared" si="34"/>
        <v/>
      </c>
      <c r="Z308" s="148" t="str">
        <f t="shared" si="34"/>
        <v/>
      </c>
      <c r="AA308" s="148" t="str">
        <f t="shared" si="34"/>
        <v/>
      </c>
      <c r="AB308" s="149" t="str">
        <f t="shared" si="34"/>
        <v/>
      </c>
    </row>
    <row r="309" spans="2:28" hidden="1" outlineLevel="1">
      <c r="B309" s="51"/>
      <c r="C309" s="104" t="str">
        <f t="shared" ref="C309:J311" si="35">MID($C$307,C239,1)</f>
        <v/>
      </c>
      <c r="D309" s="104" t="str">
        <f t="shared" si="35"/>
        <v/>
      </c>
      <c r="E309" s="104" t="str">
        <f t="shared" si="35"/>
        <v/>
      </c>
      <c r="F309" s="104" t="str">
        <f t="shared" si="35"/>
        <v/>
      </c>
      <c r="G309" s="104" t="str">
        <f t="shared" si="35"/>
        <v/>
      </c>
      <c r="H309" s="104" t="str">
        <f t="shared" si="35"/>
        <v/>
      </c>
      <c r="I309" s="104" t="str">
        <f t="shared" si="35"/>
        <v/>
      </c>
      <c r="J309" s="104" t="str">
        <f t="shared" si="35"/>
        <v/>
      </c>
      <c r="K309" s="105"/>
      <c r="L309" s="156" t="str">
        <f t="shared" ref="L309:L311" si="36">IF(ISERR(CODE(C309)),"","0x"&amp;DEC2HEX(CODE(C309))&amp;", ")</f>
        <v/>
      </c>
      <c r="M309" s="105" t="str">
        <f t="shared" si="27"/>
        <v/>
      </c>
      <c r="N309" s="105" t="str">
        <f t="shared" si="28"/>
        <v/>
      </c>
      <c r="O309" s="105" t="str">
        <f t="shared" si="29"/>
        <v/>
      </c>
      <c r="P309" s="105" t="str">
        <f t="shared" si="30"/>
        <v/>
      </c>
      <c r="Q309" s="105" t="str">
        <f t="shared" si="31"/>
        <v/>
      </c>
      <c r="R309" s="105" t="str">
        <f t="shared" si="32"/>
        <v/>
      </c>
      <c r="S309" s="157" t="str">
        <f t="shared" si="33"/>
        <v/>
      </c>
      <c r="T309" s="105"/>
      <c r="U309" s="154" t="str">
        <f t="shared" ref="U309:U311" si="37">IF($E$303="Text",L309,L315)</f>
        <v/>
      </c>
      <c r="V309" s="104" t="str">
        <f t="shared" si="34"/>
        <v/>
      </c>
      <c r="W309" s="104" t="str">
        <f t="shared" si="34"/>
        <v/>
      </c>
      <c r="X309" s="104" t="str">
        <f t="shared" si="34"/>
        <v/>
      </c>
      <c r="Y309" s="104" t="str">
        <f t="shared" si="34"/>
        <v/>
      </c>
      <c r="Z309" s="104" t="str">
        <f t="shared" si="34"/>
        <v/>
      </c>
      <c r="AA309" s="104" t="str">
        <f t="shared" si="34"/>
        <v/>
      </c>
      <c r="AB309" s="155" t="str">
        <f t="shared" si="34"/>
        <v/>
      </c>
    </row>
    <row r="310" spans="2:28" hidden="1" outlineLevel="1">
      <c r="B310" s="51"/>
      <c r="C310" s="104" t="str">
        <f t="shared" si="35"/>
        <v/>
      </c>
      <c r="D310" s="104" t="str">
        <f t="shared" si="35"/>
        <v/>
      </c>
      <c r="E310" s="104" t="str">
        <f t="shared" si="35"/>
        <v/>
      </c>
      <c r="F310" s="104" t="str">
        <f t="shared" si="35"/>
        <v/>
      </c>
      <c r="G310" s="104" t="str">
        <f t="shared" si="35"/>
        <v/>
      </c>
      <c r="H310" s="104" t="str">
        <f t="shared" si="35"/>
        <v/>
      </c>
      <c r="I310" s="104" t="str">
        <f t="shared" si="35"/>
        <v/>
      </c>
      <c r="J310" s="104" t="str">
        <f t="shared" si="35"/>
        <v/>
      </c>
      <c r="K310" s="105"/>
      <c r="L310" s="156" t="str">
        <f t="shared" si="36"/>
        <v/>
      </c>
      <c r="M310" s="105" t="str">
        <f t="shared" si="27"/>
        <v/>
      </c>
      <c r="N310" s="105" t="str">
        <f t="shared" si="28"/>
        <v/>
      </c>
      <c r="O310" s="105" t="str">
        <f t="shared" si="29"/>
        <v/>
      </c>
      <c r="P310" s="105" t="str">
        <f t="shared" si="30"/>
        <v/>
      </c>
      <c r="Q310" s="105" t="str">
        <f t="shared" si="31"/>
        <v/>
      </c>
      <c r="R310" s="105" t="str">
        <f t="shared" si="32"/>
        <v/>
      </c>
      <c r="S310" s="157" t="str">
        <f t="shared" si="33"/>
        <v/>
      </c>
      <c r="T310" s="105"/>
      <c r="U310" s="154" t="str">
        <f t="shared" si="37"/>
        <v/>
      </c>
      <c r="V310" s="104" t="str">
        <f t="shared" si="34"/>
        <v/>
      </c>
      <c r="W310" s="104" t="str">
        <f t="shared" si="34"/>
        <v/>
      </c>
      <c r="X310" s="104" t="str">
        <f t="shared" si="34"/>
        <v/>
      </c>
      <c r="Y310" s="104" t="str">
        <f t="shared" si="34"/>
        <v/>
      </c>
      <c r="Z310" s="104" t="str">
        <f t="shared" si="34"/>
        <v/>
      </c>
      <c r="AA310" s="104" t="str">
        <f t="shared" si="34"/>
        <v/>
      </c>
      <c r="AB310" s="155" t="str">
        <f t="shared" si="34"/>
        <v/>
      </c>
    </row>
    <row r="311" spans="2:28" ht="15" hidden="1" outlineLevel="1" thickBot="1">
      <c r="B311" s="51"/>
      <c r="C311" s="104" t="str">
        <f t="shared" si="35"/>
        <v/>
      </c>
      <c r="D311" s="104" t="str">
        <f t="shared" si="35"/>
        <v/>
      </c>
      <c r="E311" s="104" t="str">
        <f t="shared" si="35"/>
        <v/>
      </c>
      <c r="F311" s="104" t="str">
        <f t="shared" si="35"/>
        <v/>
      </c>
      <c r="G311" s="104" t="str">
        <f t="shared" si="35"/>
        <v/>
      </c>
      <c r="H311" s="104" t="str">
        <f t="shared" si="35"/>
        <v/>
      </c>
      <c r="I311" s="104" t="str">
        <f t="shared" si="35"/>
        <v/>
      </c>
      <c r="J311" s="104" t="str">
        <f t="shared" si="35"/>
        <v/>
      </c>
      <c r="K311" s="105"/>
      <c r="L311" s="161" t="str">
        <f t="shared" si="36"/>
        <v/>
      </c>
      <c r="M311" s="162" t="str">
        <f t="shared" si="27"/>
        <v/>
      </c>
      <c r="N311" s="162" t="str">
        <f t="shared" si="28"/>
        <v/>
      </c>
      <c r="O311" s="162" t="str">
        <f t="shared" si="29"/>
        <v/>
      </c>
      <c r="P311" s="162" t="str">
        <f t="shared" si="30"/>
        <v/>
      </c>
      <c r="Q311" s="162" t="str">
        <f t="shared" si="31"/>
        <v/>
      </c>
      <c r="R311" s="162" t="str">
        <f t="shared" si="32"/>
        <v/>
      </c>
      <c r="S311" s="163" t="str">
        <f t="shared" si="33"/>
        <v/>
      </c>
      <c r="T311" s="105"/>
      <c r="U311" s="158" t="str">
        <f t="shared" si="37"/>
        <v/>
      </c>
      <c r="V311" s="159" t="str">
        <f t="shared" si="34"/>
        <v/>
      </c>
      <c r="W311" s="159" t="str">
        <f t="shared" si="34"/>
        <v/>
      </c>
      <c r="X311" s="159" t="str">
        <f t="shared" si="34"/>
        <v/>
      </c>
      <c r="Y311" s="159" t="str">
        <f t="shared" si="34"/>
        <v/>
      </c>
      <c r="Z311" s="159" t="str">
        <f t="shared" si="34"/>
        <v/>
      </c>
      <c r="AA311" s="159" t="str">
        <f t="shared" si="34"/>
        <v/>
      </c>
      <c r="AB311" s="160" t="str">
        <f t="shared" si="34"/>
        <v/>
      </c>
    </row>
    <row r="312" spans="2:28" hidden="1" outlineLevel="1">
      <c r="B312" s="51"/>
      <c r="C312" s="51"/>
      <c r="D312" s="51"/>
      <c r="E312" s="51"/>
      <c r="F312" s="51"/>
      <c r="G312" s="51"/>
      <c r="H312" s="51"/>
      <c r="I312" s="51"/>
      <c r="J312" s="51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51"/>
      <c r="V312" s="51"/>
      <c r="W312" s="51"/>
      <c r="X312" s="53"/>
      <c r="Y312" s="53"/>
    </row>
    <row r="313" spans="2:28" ht="15" hidden="1" outlineLevel="1" thickBot="1">
      <c r="B313" s="51" t="s">
        <v>722</v>
      </c>
      <c r="C313" s="51"/>
      <c r="D313" s="51"/>
      <c r="E313" s="51"/>
      <c r="F313" s="51"/>
      <c r="G313" s="51"/>
      <c r="H313" s="51"/>
      <c r="I313" s="51"/>
      <c r="J313" s="51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51" t="s">
        <v>723</v>
      </c>
      <c r="V313" s="51"/>
      <c r="W313" s="51"/>
      <c r="X313" s="53"/>
      <c r="Y313" s="53"/>
    </row>
    <row r="314" spans="2:28" hidden="1" outlineLevel="1">
      <c r="B314" s="51"/>
      <c r="C314" s="104">
        <f t="shared" ref="C314:J317" si="38">G72</f>
        <v>0</v>
      </c>
      <c r="D314" s="104">
        <f t="shared" si="38"/>
        <v>0</v>
      </c>
      <c r="E314" s="104">
        <f t="shared" si="38"/>
        <v>0</v>
      </c>
      <c r="F314" s="104">
        <f t="shared" si="38"/>
        <v>0</v>
      </c>
      <c r="G314" s="104">
        <f t="shared" si="38"/>
        <v>0</v>
      </c>
      <c r="H314" s="104">
        <f t="shared" si="38"/>
        <v>0</v>
      </c>
      <c r="I314" s="104">
        <f t="shared" si="38"/>
        <v>0</v>
      </c>
      <c r="J314" s="104">
        <f t="shared" si="38"/>
        <v>0</v>
      </c>
      <c r="K314" s="105"/>
      <c r="L314" s="106" t="str">
        <f t="shared" ref="L314:L316" si="39">IF(C314=0,"",C314&amp;", ")</f>
        <v/>
      </c>
      <c r="M314" s="106" t="str">
        <f t="shared" ref="M314:M317" si="40">IF(D314=0,"",D314&amp;", ")</f>
        <v/>
      </c>
      <c r="N314" s="106" t="str">
        <f t="shared" ref="N314:N317" si="41">IF(E314=0,"",E314&amp;", ")</f>
        <v/>
      </c>
      <c r="O314" s="106" t="str">
        <f t="shared" ref="O314:O317" si="42">IF(F314=0,"",F314&amp;", ")</f>
        <v/>
      </c>
      <c r="P314" s="106" t="str">
        <f t="shared" ref="P314:P317" si="43">IF(G314=0,"",G314&amp;", ")</f>
        <v/>
      </c>
      <c r="Q314" s="106" t="str">
        <f t="shared" ref="Q314:Q317" si="44">IF(H314=0,"",H314&amp;", ")</f>
        <v/>
      </c>
      <c r="R314" s="106" t="str">
        <f t="shared" ref="R314:R317" si="45">IF(I314=0,"",I314&amp;", ")</f>
        <v/>
      </c>
      <c r="S314" s="106" t="str">
        <f t="shared" ref="S314:S317" si="46">IF(J314=0,"",J314&amp;", ")</f>
        <v/>
      </c>
      <c r="T314" s="105"/>
      <c r="U314" s="170" t="str">
        <f>IF($E$301="Yes",U308,"")</f>
        <v/>
      </c>
      <c r="V314" s="171" t="str">
        <f t="shared" ref="V314:AB314" si="47">IF($E$301="Yes",V308,"")</f>
        <v/>
      </c>
      <c r="W314" s="171" t="str">
        <f t="shared" si="47"/>
        <v/>
      </c>
      <c r="X314" s="171" t="str">
        <f t="shared" si="47"/>
        <v/>
      </c>
      <c r="Y314" s="171" t="str">
        <f t="shared" si="47"/>
        <v/>
      </c>
      <c r="Z314" s="171" t="str">
        <f t="shared" si="47"/>
        <v/>
      </c>
      <c r="AA314" s="171" t="str">
        <f t="shared" si="47"/>
        <v/>
      </c>
      <c r="AB314" s="172" t="str">
        <f t="shared" si="47"/>
        <v/>
      </c>
    </row>
    <row r="315" spans="2:28" hidden="1" outlineLevel="1">
      <c r="B315" s="51"/>
      <c r="C315" s="104">
        <f t="shared" si="38"/>
        <v>0</v>
      </c>
      <c r="D315" s="104">
        <f t="shared" si="38"/>
        <v>0</v>
      </c>
      <c r="E315" s="104">
        <f t="shared" si="38"/>
        <v>0</v>
      </c>
      <c r="F315" s="104">
        <f t="shared" si="38"/>
        <v>0</v>
      </c>
      <c r="G315" s="104">
        <f t="shared" si="38"/>
        <v>0</v>
      </c>
      <c r="H315" s="104">
        <f t="shared" si="38"/>
        <v>0</v>
      </c>
      <c r="I315" s="104">
        <f t="shared" si="38"/>
        <v>0</v>
      </c>
      <c r="J315" s="104">
        <f t="shared" si="38"/>
        <v>0</v>
      </c>
      <c r="K315" s="105"/>
      <c r="L315" s="106" t="str">
        <f t="shared" si="39"/>
        <v/>
      </c>
      <c r="M315" s="106" t="str">
        <f t="shared" si="40"/>
        <v/>
      </c>
      <c r="N315" s="106" t="str">
        <f t="shared" si="41"/>
        <v/>
      </c>
      <c r="O315" s="106" t="str">
        <f t="shared" si="42"/>
        <v/>
      </c>
      <c r="P315" s="106" t="str">
        <f t="shared" si="43"/>
        <v/>
      </c>
      <c r="Q315" s="106" t="str">
        <f t="shared" si="44"/>
        <v/>
      </c>
      <c r="R315" s="106" t="str">
        <f t="shared" si="45"/>
        <v/>
      </c>
      <c r="S315" s="106" t="str">
        <f t="shared" si="46"/>
        <v/>
      </c>
      <c r="T315" s="105"/>
      <c r="U315" s="173" t="str">
        <f t="shared" ref="U315:AB317" si="48">IF($E$301="Yes",U309,"")</f>
        <v/>
      </c>
      <c r="V315" s="51" t="str">
        <f t="shared" si="48"/>
        <v/>
      </c>
      <c r="W315" s="51" t="str">
        <f t="shared" si="48"/>
        <v/>
      </c>
      <c r="X315" s="51" t="str">
        <f t="shared" si="48"/>
        <v/>
      </c>
      <c r="Y315" s="51" t="str">
        <f t="shared" si="48"/>
        <v/>
      </c>
      <c r="Z315" s="51" t="str">
        <f t="shared" si="48"/>
        <v/>
      </c>
      <c r="AA315" s="51" t="str">
        <f t="shared" si="48"/>
        <v/>
      </c>
      <c r="AB315" s="174" t="str">
        <f t="shared" si="48"/>
        <v/>
      </c>
    </row>
    <row r="316" spans="2:28" hidden="1" outlineLevel="1">
      <c r="B316" s="51"/>
      <c r="C316" s="104">
        <f t="shared" si="38"/>
        <v>0</v>
      </c>
      <c r="D316" s="104">
        <f t="shared" si="38"/>
        <v>0</v>
      </c>
      <c r="E316" s="104">
        <f t="shared" si="38"/>
        <v>0</v>
      </c>
      <c r="F316" s="104">
        <f t="shared" si="38"/>
        <v>0</v>
      </c>
      <c r="G316" s="104">
        <f t="shared" si="38"/>
        <v>0</v>
      </c>
      <c r="H316" s="104">
        <f t="shared" si="38"/>
        <v>0</v>
      </c>
      <c r="I316" s="104">
        <f t="shared" si="38"/>
        <v>0</v>
      </c>
      <c r="J316" s="104">
        <f t="shared" si="38"/>
        <v>0</v>
      </c>
      <c r="K316" s="105"/>
      <c r="L316" s="106" t="str">
        <f t="shared" si="39"/>
        <v/>
      </c>
      <c r="M316" s="106" t="str">
        <f t="shared" si="40"/>
        <v/>
      </c>
      <c r="N316" s="106" t="str">
        <f t="shared" si="41"/>
        <v/>
      </c>
      <c r="O316" s="106" t="str">
        <f t="shared" si="42"/>
        <v/>
      </c>
      <c r="P316" s="106" t="str">
        <f t="shared" si="43"/>
        <v/>
      </c>
      <c r="Q316" s="106" t="str">
        <f t="shared" si="44"/>
        <v/>
      </c>
      <c r="R316" s="106" t="str">
        <f t="shared" si="45"/>
        <v/>
      </c>
      <c r="S316" s="106" t="str">
        <f t="shared" si="46"/>
        <v/>
      </c>
      <c r="T316" s="105"/>
      <c r="U316" s="173" t="str">
        <f t="shared" si="48"/>
        <v/>
      </c>
      <c r="V316" s="51" t="str">
        <f t="shared" si="48"/>
        <v/>
      </c>
      <c r="W316" s="51" t="str">
        <f t="shared" si="48"/>
        <v/>
      </c>
      <c r="X316" s="51" t="str">
        <f t="shared" si="48"/>
        <v/>
      </c>
      <c r="Y316" s="51" t="str">
        <f t="shared" si="48"/>
        <v/>
      </c>
      <c r="Z316" s="51" t="str">
        <f t="shared" si="48"/>
        <v/>
      </c>
      <c r="AA316" s="51" t="str">
        <f t="shared" si="48"/>
        <v/>
      </c>
      <c r="AB316" s="174" t="str">
        <f t="shared" si="48"/>
        <v/>
      </c>
    </row>
    <row r="317" spans="2:28" ht="15" hidden="1" outlineLevel="1" thickBot="1">
      <c r="B317" s="51"/>
      <c r="C317" s="104">
        <f t="shared" si="38"/>
        <v>0</v>
      </c>
      <c r="D317" s="104">
        <f t="shared" si="38"/>
        <v>0</v>
      </c>
      <c r="E317" s="104">
        <f t="shared" si="38"/>
        <v>0</v>
      </c>
      <c r="F317" s="104">
        <f t="shared" si="38"/>
        <v>0</v>
      </c>
      <c r="G317" s="104">
        <f t="shared" si="38"/>
        <v>0</v>
      </c>
      <c r="H317" s="104">
        <f t="shared" si="38"/>
        <v>0</v>
      </c>
      <c r="I317" s="104">
        <f t="shared" si="38"/>
        <v>0</v>
      </c>
      <c r="J317" s="104">
        <f t="shared" si="38"/>
        <v>0</v>
      </c>
      <c r="K317" s="105"/>
      <c r="L317" s="106" t="str">
        <f>IF(C317=0,"",C317&amp;", ")</f>
        <v/>
      </c>
      <c r="M317" s="106" t="str">
        <f t="shared" si="40"/>
        <v/>
      </c>
      <c r="N317" s="106" t="str">
        <f t="shared" si="41"/>
        <v/>
      </c>
      <c r="O317" s="106" t="str">
        <f t="shared" si="42"/>
        <v/>
      </c>
      <c r="P317" s="106" t="str">
        <f t="shared" si="43"/>
        <v/>
      </c>
      <c r="Q317" s="106" t="str">
        <f t="shared" si="44"/>
        <v/>
      </c>
      <c r="R317" s="106" t="str">
        <f t="shared" si="45"/>
        <v/>
      </c>
      <c r="S317" s="106" t="str">
        <f t="shared" si="46"/>
        <v/>
      </c>
      <c r="T317" s="105"/>
      <c r="U317" s="175" t="str">
        <f t="shared" si="48"/>
        <v/>
      </c>
      <c r="V317" s="176" t="str">
        <f t="shared" si="48"/>
        <v/>
      </c>
      <c r="W317" s="176" t="str">
        <f t="shared" si="48"/>
        <v/>
      </c>
      <c r="X317" s="176" t="str">
        <f t="shared" si="48"/>
        <v/>
      </c>
      <c r="Y317" s="176" t="str">
        <f t="shared" si="48"/>
        <v/>
      </c>
      <c r="Z317" s="176" t="str">
        <f t="shared" si="48"/>
        <v/>
      </c>
      <c r="AA317" s="176" t="str">
        <f t="shared" si="48"/>
        <v/>
      </c>
      <c r="AB317" s="177" t="str">
        <f t="shared" si="48"/>
        <v/>
      </c>
    </row>
    <row r="318" spans="2:28" ht="15" hidden="1" outlineLevel="1" thickBot="1">
      <c r="B318" s="51"/>
      <c r="C318" s="51"/>
      <c r="D318" s="51"/>
      <c r="E318" s="51"/>
      <c r="F318" s="51"/>
      <c r="G318" s="51"/>
      <c r="H318" s="51"/>
      <c r="I318" s="51"/>
      <c r="J318" s="51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51"/>
      <c r="V318" s="51"/>
      <c r="W318" s="51"/>
      <c r="X318" s="53"/>
      <c r="Y318" s="53"/>
    </row>
    <row r="319" spans="2:28" ht="15" hidden="1" outlineLevel="1" thickBot="1">
      <c r="B319" s="51" t="s">
        <v>724</v>
      </c>
      <c r="C319" s="164">
        <f>COUNTA(U314:AB317)-COUNTIF(U314:AB317,"")</f>
        <v>0</v>
      </c>
      <c r="D319" s="165" t="s">
        <v>731</v>
      </c>
      <c r="E319" s="51">
        <f>C319+1</f>
        <v>1</v>
      </c>
      <c r="F319" s="51" t="str">
        <f>"0x"&amp;DEC2HEX(E319,2)&amp;", "</f>
        <v xml:space="preserve">0x01, </v>
      </c>
      <c r="G319" s="146" t="str">
        <f>IF(E301="Yes",F319,"")</f>
        <v/>
      </c>
      <c r="H319" s="51"/>
      <c r="I319" s="51"/>
      <c r="J319" s="51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51"/>
      <c r="V319" s="51"/>
      <c r="W319" s="51"/>
      <c r="X319" s="53"/>
      <c r="Y319" s="53"/>
    </row>
    <row r="320" spans="2:28" hidden="1" outlineLevel="1">
      <c r="B320" s="51"/>
      <c r="C320" s="51"/>
      <c r="D320" s="51"/>
      <c r="E320" s="51"/>
      <c r="F320" s="51"/>
      <c r="G320" s="51"/>
      <c r="H320" s="51"/>
      <c r="I320" s="51"/>
      <c r="J320" s="51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51"/>
      <c r="V320" s="51"/>
      <c r="W320" s="51"/>
      <c r="X320" s="53"/>
      <c r="Y320" s="53"/>
    </row>
    <row r="321" spans="2:25" hidden="1" outlineLevel="1">
      <c r="B321" s="51" t="s">
        <v>44</v>
      </c>
      <c r="C321" s="51"/>
      <c r="D321" s="51" t="s">
        <v>38</v>
      </c>
      <c r="E321" s="51" t="s">
        <v>40</v>
      </c>
      <c r="F321" s="51"/>
      <c r="G321" s="51" t="s">
        <v>37</v>
      </c>
      <c r="H321" s="51" t="str">
        <f>F87</f>
        <v>On</v>
      </c>
      <c r="I321" s="51"/>
      <c r="J321" s="51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51"/>
      <c r="V321" s="51"/>
      <c r="W321" s="51"/>
      <c r="X321" s="53"/>
      <c r="Y321" s="53"/>
    </row>
    <row r="322" spans="2:25" hidden="1" outlineLevel="1">
      <c r="B322" s="51"/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  <c r="S322" s="51"/>
      <c r="T322" s="51"/>
      <c r="U322" s="51"/>
      <c r="V322" s="51"/>
      <c r="W322" s="51"/>
      <c r="X322" s="53"/>
      <c r="Y322" s="53"/>
    </row>
    <row r="323" spans="2:25" hidden="1" outlineLevel="1">
      <c r="B323" s="51"/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3"/>
      <c r="Y323" s="53"/>
    </row>
    <row r="324" spans="2:25" hidden="1" outlineLevel="1">
      <c r="B324" s="51"/>
      <c r="C324" s="51" t="s">
        <v>716</v>
      </c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51"/>
      <c r="U324" s="51"/>
      <c r="V324" s="51"/>
      <c r="W324" s="51"/>
      <c r="X324" s="53"/>
      <c r="Y324" s="53"/>
    </row>
    <row r="325" spans="2:25" hidden="1" outlineLevel="1">
      <c r="B325" s="51"/>
      <c r="C325" s="51"/>
      <c r="D325" s="51" t="s">
        <v>732</v>
      </c>
      <c r="E325" s="51"/>
      <c r="F325" s="51">
        <v>2</v>
      </c>
      <c r="G325" s="51"/>
      <c r="H325" s="51"/>
      <c r="I325" s="51"/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51"/>
      <c r="U325" s="51"/>
      <c r="V325" s="51"/>
      <c r="W325" s="51"/>
      <c r="X325" s="53"/>
      <c r="Y325" s="53"/>
    </row>
    <row r="326" spans="2:25" hidden="1" outlineLevel="1">
      <c r="B326" s="51"/>
      <c r="C326" s="51"/>
      <c r="D326" s="51" t="s">
        <v>717</v>
      </c>
      <c r="E326" s="51"/>
      <c r="F326" s="51">
        <v>6</v>
      </c>
      <c r="G326" s="51"/>
      <c r="H326" s="51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3"/>
      <c r="Y326" s="53"/>
    </row>
    <row r="327" spans="2:25" hidden="1" outlineLevel="1">
      <c r="B327" s="51"/>
      <c r="C327" s="51"/>
      <c r="D327" s="51" t="s">
        <v>718</v>
      </c>
      <c r="E327" s="51"/>
      <c r="F327" s="51">
        <f>IF(E260="Yes",G275+1,0)</f>
        <v>14</v>
      </c>
      <c r="G327" s="51"/>
      <c r="H327" s="51"/>
      <c r="I327" s="51"/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51"/>
      <c r="U327" s="51"/>
      <c r="V327" s="51"/>
      <c r="W327" s="51"/>
      <c r="X327" s="53"/>
      <c r="Y327" s="53"/>
    </row>
    <row r="328" spans="2:25" hidden="1" outlineLevel="1">
      <c r="B328" s="51"/>
      <c r="D328" s="51" t="s">
        <v>719</v>
      </c>
      <c r="E328" s="51"/>
      <c r="F328" s="51">
        <f>IF(E279="Yes",D284+1,0)</f>
        <v>5</v>
      </c>
      <c r="G328" s="51"/>
      <c r="H328" s="51"/>
      <c r="I328" s="51"/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51"/>
      <c r="U328" s="51"/>
      <c r="V328" s="51"/>
      <c r="W328" s="51"/>
      <c r="X328" s="53"/>
      <c r="Y328" s="53"/>
    </row>
    <row r="329" spans="2:25" hidden="1" outlineLevel="1">
      <c r="B329" s="51"/>
      <c r="C329" s="51"/>
      <c r="D329" s="51" t="s">
        <v>689</v>
      </c>
      <c r="E329" s="51"/>
      <c r="F329" s="51">
        <f>IF(G289&gt;0,E291+1,0)</f>
        <v>6</v>
      </c>
      <c r="G329" s="51"/>
      <c r="H329" s="51"/>
      <c r="I329" s="51"/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3"/>
      <c r="Y329" s="53"/>
    </row>
    <row r="330" spans="2:25" ht="15" hidden="1" outlineLevel="1" thickBot="1">
      <c r="B330" s="51"/>
      <c r="C330" s="51"/>
      <c r="D330" s="164" t="s">
        <v>720</v>
      </c>
      <c r="E330" s="164"/>
      <c r="F330" s="164">
        <f>IF(E301="Yes",E319+1,0)</f>
        <v>0</v>
      </c>
      <c r="G330" s="51"/>
      <c r="H330" s="51" t="s">
        <v>738</v>
      </c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3"/>
      <c r="Y330" s="53"/>
    </row>
    <row r="331" spans="2:25" ht="15" hidden="1" outlineLevel="1" thickBot="1">
      <c r="B331" s="51"/>
      <c r="C331" s="51"/>
      <c r="D331" s="51" t="s">
        <v>733</v>
      </c>
      <c r="E331" s="51"/>
      <c r="F331" s="51">
        <f>SUM(F325:F330)</f>
        <v>33</v>
      </c>
      <c r="G331" s="51"/>
      <c r="H331" s="146" t="str">
        <f>"0x"&amp;DEC2HEX(F331,2)&amp;", "</f>
        <v xml:space="preserve">0x21, </v>
      </c>
      <c r="I331" s="51"/>
      <c r="J331" s="51"/>
      <c r="K331" s="51"/>
      <c r="L331" s="51"/>
      <c r="M331" s="51"/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3"/>
      <c r="Y331" s="53"/>
    </row>
    <row r="332" spans="2:25" hidden="1" outlineLevel="1">
      <c r="B332" s="51"/>
      <c r="C332" s="51"/>
      <c r="D332" s="51"/>
      <c r="E332" s="51"/>
      <c r="F332" s="51"/>
      <c r="G332" s="51"/>
      <c r="H332" s="51"/>
      <c r="I332" s="51"/>
      <c r="J332" s="51"/>
      <c r="K332" s="51"/>
      <c r="L332" s="51"/>
      <c r="M332" s="51"/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3"/>
      <c r="Y332" s="53"/>
    </row>
    <row r="333" spans="2:25" hidden="1" outlineLevel="1">
      <c r="B333" s="51"/>
      <c r="C333" s="51" t="s">
        <v>715</v>
      </c>
      <c r="D333" s="51"/>
      <c r="E333" s="51"/>
      <c r="F333" s="51"/>
      <c r="G333" s="51"/>
      <c r="H333" s="51"/>
      <c r="I333" s="51"/>
      <c r="J333" s="51"/>
      <c r="K333" s="51"/>
      <c r="L333" s="51"/>
      <c r="M333" s="51"/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3"/>
      <c r="Y333" s="53"/>
    </row>
    <row r="334" spans="2:25" ht="15" hidden="1" outlineLevel="1" thickBot="1">
      <c r="B334" s="51"/>
      <c r="C334" s="51"/>
      <c r="D334" s="164" t="s">
        <v>736</v>
      </c>
      <c r="E334" s="164"/>
      <c r="F334" s="164">
        <f>F331</f>
        <v>33</v>
      </c>
      <c r="G334" s="51"/>
      <c r="H334" s="51" t="s">
        <v>739</v>
      </c>
      <c r="I334" s="51"/>
      <c r="J334" s="51"/>
      <c r="K334" s="51"/>
      <c r="L334" s="51"/>
      <c r="M334" s="51"/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3"/>
      <c r="Y334" s="53"/>
    </row>
    <row r="335" spans="2:25" ht="15" hidden="1" outlineLevel="1" thickBot="1">
      <c r="B335" s="51"/>
      <c r="C335" s="51"/>
      <c r="D335" s="51" t="s">
        <v>737</v>
      </c>
      <c r="E335" s="51"/>
      <c r="F335" s="51">
        <f>F334</f>
        <v>33</v>
      </c>
      <c r="G335" s="51"/>
      <c r="H335" s="146" t="str">
        <f>"0x"&amp;DEC2HEX(F335,2)&amp;", "</f>
        <v xml:space="preserve">0x21, </v>
      </c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3"/>
      <c r="Y335" s="53"/>
    </row>
    <row r="336" spans="2:25" hidden="1" outlineLevel="1">
      <c r="B336" s="51"/>
      <c r="C336" s="51"/>
      <c r="D336" s="51"/>
      <c r="E336" s="51"/>
      <c r="F336" s="51"/>
      <c r="G336" s="51"/>
      <c r="H336" s="51"/>
      <c r="I336" s="51"/>
      <c r="J336" s="51"/>
      <c r="K336" s="51"/>
      <c r="L336" s="51"/>
      <c r="M336" s="51"/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3"/>
      <c r="Y336" s="53"/>
    </row>
    <row r="337" spans="2:25" hidden="1" outlineLevel="1">
      <c r="B337" s="51"/>
      <c r="C337" s="51"/>
      <c r="D337" s="51"/>
      <c r="E337" s="51"/>
      <c r="F337" s="51"/>
      <c r="G337" s="51"/>
      <c r="H337" s="51"/>
      <c r="I337" s="51"/>
      <c r="J337" s="51"/>
      <c r="K337" s="51"/>
      <c r="L337" s="51"/>
      <c r="M337" s="51"/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3"/>
      <c r="Y337" s="53"/>
    </row>
    <row r="338" spans="2:25" hidden="1" outlineLevel="1">
      <c r="B338" s="51"/>
      <c r="C338" s="51" t="s">
        <v>78</v>
      </c>
      <c r="D338" s="51"/>
      <c r="E338" s="51"/>
      <c r="F338" s="51"/>
      <c r="G338" s="51"/>
      <c r="H338" s="51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3"/>
      <c r="Y338" s="53"/>
    </row>
    <row r="339" spans="2:25" hidden="1" outlineLevel="1">
      <c r="B339" s="51"/>
      <c r="C339" s="51"/>
      <c r="D339" s="51" t="s">
        <v>82</v>
      </c>
      <c r="E339" s="51"/>
      <c r="F339" s="51">
        <v>1</v>
      </c>
      <c r="G339" s="51"/>
      <c r="H339" s="51"/>
      <c r="I339" s="51"/>
      <c r="J339" s="51"/>
      <c r="K339" s="51"/>
      <c r="L339" s="51"/>
      <c r="M339" s="51"/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3"/>
      <c r="Y339" s="53"/>
    </row>
    <row r="340" spans="2:25" hidden="1" outlineLevel="1">
      <c r="B340" s="51"/>
      <c r="C340" s="51"/>
      <c r="D340" s="51" t="s">
        <v>81</v>
      </c>
      <c r="E340" s="51"/>
      <c r="F340" s="51">
        <v>1</v>
      </c>
      <c r="G340" s="51"/>
      <c r="H340" s="51"/>
      <c r="I340" s="51"/>
      <c r="J340" s="51"/>
      <c r="K340" s="51"/>
      <c r="L340" s="51"/>
      <c r="M340" s="51"/>
      <c r="N340" s="51"/>
      <c r="O340" s="51"/>
      <c r="P340" s="51"/>
      <c r="Q340" s="51"/>
      <c r="R340" s="51"/>
      <c r="S340" s="51"/>
      <c r="T340" s="51"/>
      <c r="U340" s="51"/>
      <c r="V340" s="51"/>
      <c r="W340" s="51"/>
      <c r="X340" s="53"/>
      <c r="Y340" s="53"/>
    </row>
    <row r="341" spans="2:25" hidden="1" outlineLevel="1">
      <c r="B341" s="51"/>
      <c r="C341" s="51"/>
      <c r="D341" s="51" t="s">
        <v>80</v>
      </c>
      <c r="E341" s="51"/>
      <c r="F341" s="51">
        <v>1</v>
      </c>
      <c r="G341" s="51"/>
      <c r="H341" s="51"/>
      <c r="I341" s="51"/>
      <c r="J341" s="51"/>
      <c r="K341" s="51"/>
      <c r="L341" s="51"/>
      <c r="M341" s="51"/>
      <c r="N341" s="51"/>
      <c r="O341" s="51"/>
      <c r="P341" s="51"/>
      <c r="Q341" s="51"/>
      <c r="R341" s="51"/>
      <c r="S341" s="51"/>
      <c r="T341" s="51"/>
      <c r="U341" s="51"/>
      <c r="V341" s="51"/>
      <c r="W341" s="51"/>
      <c r="X341" s="53"/>
      <c r="Y341" s="53"/>
    </row>
    <row r="342" spans="2:25" hidden="1" outlineLevel="1">
      <c r="B342" s="51"/>
      <c r="C342" s="51"/>
      <c r="D342" s="51" t="s">
        <v>740</v>
      </c>
      <c r="E342" s="51"/>
      <c r="F342" s="51">
        <v>1</v>
      </c>
      <c r="G342" s="51"/>
      <c r="H342" s="51"/>
      <c r="I342" s="51"/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3"/>
      <c r="Y342" s="53"/>
    </row>
    <row r="343" spans="2:25" hidden="1" outlineLevel="1">
      <c r="B343" s="51"/>
      <c r="C343" s="51"/>
      <c r="D343" s="51" t="s">
        <v>83</v>
      </c>
      <c r="E343" s="51"/>
      <c r="F343" s="51">
        <f>COUNTA(L264:S267)-COUNTIF(L264:S267,"")</f>
        <v>32</v>
      </c>
      <c r="G343" s="51"/>
      <c r="H343" s="51"/>
      <c r="I343" s="51"/>
      <c r="J343" s="51"/>
      <c r="K343" s="51"/>
      <c r="L343" s="51"/>
      <c r="M343" s="51"/>
      <c r="N343" s="51"/>
      <c r="O343" s="51"/>
      <c r="P343" s="51"/>
      <c r="Q343" s="51"/>
      <c r="R343" s="51"/>
      <c r="S343" s="51"/>
      <c r="T343" s="51"/>
      <c r="U343" s="51"/>
      <c r="V343" s="51"/>
      <c r="W343" s="51"/>
      <c r="X343" s="53"/>
      <c r="Y343" s="53"/>
    </row>
    <row r="344" spans="2:25" hidden="1" outlineLevel="1">
      <c r="B344" s="51"/>
      <c r="C344" s="51"/>
      <c r="D344" s="51" t="s">
        <v>741</v>
      </c>
      <c r="E344" s="51"/>
      <c r="F344" s="51">
        <v>1</v>
      </c>
      <c r="G344" s="51"/>
      <c r="H344" s="51"/>
      <c r="I344" s="51"/>
      <c r="J344" s="51"/>
      <c r="K344" s="51"/>
      <c r="L344" s="51"/>
      <c r="M344" s="51"/>
      <c r="N344" s="51"/>
      <c r="O344" s="51"/>
      <c r="P344" s="51"/>
      <c r="Q344" s="51"/>
      <c r="R344" s="51"/>
      <c r="S344" s="51"/>
      <c r="T344" s="51"/>
      <c r="U344" s="51"/>
      <c r="V344" s="51"/>
      <c r="W344" s="51"/>
      <c r="X344" s="53"/>
      <c r="Y344" s="53"/>
    </row>
    <row r="345" spans="2:25" ht="15" hidden="1" outlineLevel="1" thickBot="1">
      <c r="B345" s="51"/>
      <c r="C345" s="51"/>
      <c r="D345" s="164" t="s">
        <v>65</v>
      </c>
      <c r="E345" s="164"/>
      <c r="F345" s="164">
        <f>F335</f>
        <v>33</v>
      </c>
      <c r="G345" s="51"/>
      <c r="H345" s="51"/>
      <c r="I345" s="51"/>
      <c r="J345" s="51"/>
      <c r="K345" s="51"/>
      <c r="L345" s="51"/>
      <c r="M345" s="51"/>
      <c r="N345" s="51"/>
      <c r="O345" s="51"/>
      <c r="P345" s="51"/>
      <c r="Q345" s="51"/>
      <c r="R345" s="51"/>
      <c r="S345" s="51"/>
      <c r="T345" s="51"/>
      <c r="U345" s="51"/>
      <c r="V345" s="51"/>
      <c r="W345" s="51"/>
      <c r="X345" s="53"/>
      <c r="Y345" s="53"/>
    </row>
    <row r="346" spans="2:25" ht="15" hidden="1" outlineLevel="1" thickBot="1">
      <c r="B346" s="51"/>
      <c r="C346" s="51"/>
      <c r="D346" s="51" t="s">
        <v>77</v>
      </c>
      <c r="E346" s="51"/>
      <c r="F346" s="51">
        <f>SUM(F339:F345)</f>
        <v>70</v>
      </c>
      <c r="G346" s="51"/>
      <c r="H346" s="146" t="str">
        <f>"0x"&amp;DEC2HEX(F346,2)&amp;", "</f>
        <v xml:space="preserve">0x46, </v>
      </c>
      <c r="I346" s="51"/>
      <c r="J346" s="51"/>
      <c r="K346" s="51"/>
      <c r="L346" s="51"/>
      <c r="M346" s="51"/>
      <c r="N346" s="51"/>
      <c r="O346" s="51"/>
      <c r="P346" s="51"/>
      <c r="Q346" s="51"/>
      <c r="R346" s="51"/>
      <c r="S346" s="51"/>
      <c r="T346" s="51"/>
      <c r="U346" s="51"/>
      <c r="V346" s="51"/>
      <c r="W346" s="51"/>
      <c r="X346" s="53"/>
      <c r="Y346" s="53"/>
    </row>
    <row r="347" spans="2:25" hidden="1" outlineLevel="1">
      <c r="B347" s="51"/>
      <c r="C347" s="51"/>
      <c r="D347" s="51"/>
      <c r="E347" s="51"/>
      <c r="F347" s="51"/>
      <c r="G347" s="51"/>
      <c r="H347" s="51"/>
      <c r="I347" s="51"/>
      <c r="J347" s="51"/>
      <c r="K347" s="51"/>
      <c r="L347" s="51"/>
      <c r="M347" s="51"/>
      <c r="N347" s="51"/>
      <c r="O347" s="51"/>
      <c r="P347" s="51"/>
      <c r="Q347" s="51"/>
      <c r="R347" s="51"/>
      <c r="S347" s="51"/>
      <c r="T347" s="51"/>
      <c r="U347" s="51"/>
      <c r="V347" s="51"/>
      <c r="W347" s="51"/>
      <c r="X347" s="53"/>
      <c r="Y347" s="53"/>
    </row>
    <row r="348" spans="2:25" ht="15" hidden="1" outlineLevel="1" thickBot="1">
      <c r="B348" s="51"/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  <c r="S348" s="51"/>
      <c r="T348" s="51"/>
      <c r="U348" s="51"/>
      <c r="V348" s="51"/>
      <c r="W348" s="51"/>
      <c r="X348" s="53"/>
      <c r="Y348" s="53"/>
    </row>
    <row r="349" spans="2:25" ht="15" hidden="1" outlineLevel="1" thickBot="1">
      <c r="B349" s="51" t="s">
        <v>765</v>
      </c>
      <c r="C349" s="146" t="str">
        <f>IF(H321="On","    \","")</f>
        <v xml:space="preserve">    \</v>
      </c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  <c r="S349" s="51"/>
      <c r="T349" s="51"/>
      <c r="U349" s="51"/>
      <c r="V349" s="51"/>
      <c r="W349" s="51"/>
      <c r="X349" s="53"/>
      <c r="Y349" s="53"/>
    </row>
    <row r="350" spans="2:25" hidden="1" outlineLevel="1">
      <c r="B350" s="51"/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  <c r="S350" s="51"/>
      <c r="T350" s="51"/>
      <c r="U350" s="51"/>
      <c r="V350" s="51"/>
      <c r="W350" s="51"/>
      <c r="X350" s="53"/>
      <c r="Y350" s="53"/>
    </row>
    <row r="351" spans="2:25" hidden="1" outlineLevel="1">
      <c r="B351" s="51"/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3"/>
      <c r="Y351" s="53"/>
    </row>
    <row r="352" spans="2:25" hidden="1" outlineLevel="1">
      <c r="B352" s="51"/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  <c r="S352" s="51"/>
      <c r="T352" s="51"/>
      <c r="U352" s="51"/>
      <c r="V352" s="51"/>
      <c r="W352" s="51"/>
      <c r="X352" s="53"/>
      <c r="Y352" s="53"/>
    </row>
    <row r="353" spans="1:25" ht="20.25" hidden="1" outlineLevel="1">
      <c r="B353" s="178" t="s">
        <v>202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  <c r="S353" s="51"/>
      <c r="T353" s="51"/>
      <c r="U353" s="51"/>
      <c r="V353" s="51"/>
      <c r="W353" s="51"/>
      <c r="X353" s="53"/>
      <c r="Y353" s="53"/>
    </row>
    <row r="354" spans="1:25" hidden="1" outlineLevel="1">
      <c r="B354" s="51"/>
      <c r="C354" s="104" t="s">
        <v>203</v>
      </c>
      <c r="D354" s="104" t="s">
        <v>204</v>
      </c>
      <c r="E354" s="104" t="s">
        <v>220</v>
      </c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/>
      <c r="W354" s="51"/>
      <c r="X354" s="53"/>
      <c r="Y354" s="53"/>
    </row>
    <row r="355" spans="1:25" hidden="1" outlineLevel="1">
      <c r="B355" s="51"/>
      <c r="C355" s="104" t="s">
        <v>647</v>
      </c>
      <c r="D355" s="104" t="s">
        <v>648</v>
      </c>
      <c r="E355" s="104" t="s">
        <v>649</v>
      </c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3"/>
      <c r="Y355" s="53"/>
    </row>
    <row r="356" spans="1:25" hidden="1" outlineLevel="1">
      <c r="B356" s="51"/>
      <c r="C356" s="179" t="s">
        <v>618</v>
      </c>
      <c r="D356" s="104" t="s">
        <v>205</v>
      </c>
      <c r="E356" s="104" t="s">
        <v>221</v>
      </c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/>
      <c r="W356" s="51"/>
      <c r="X356" s="53"/>
      <c r="Y356" s="53"/>
    </row>
    <row r="357" spans="1:25" hidden="1" outlineLevel="1">
      <c r="B357" s="51"/>
      <c r="C357" s="179" t="s">
        <v>206</v>
      </c>
      <c r="D357" s="104" t="s">
        <v>207</v>
      </c>
      <c r="E357" s="104" t="s">
        <v>222</v>
      </c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3"/>
      <c r="Y357" s="53"/>
    </row>
    <row r="358" spans="1:25" hidden="1" outlineLevel="1">
      <c r="A358" s="53"/>
      <c r="B358" s="51"/>
      <c r="C358" s="179" t="s">
        <v>208</v>
      </c>
      <c r="D358" s="104" t="s">
        <v>209</v>
      </c>
      <c r="E358" s="104" t="s">
        <v>223</v>
      </c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/>
      <c r="W358" s="51"/>
      <c r="X358" s="53"/>
      <c r="Y358" s="53"/>
    </row>
    <row r="359" spans="1:25" hidden="1" outlineLevel="1">
      <c r="A359" s="53"/>
      <c r="B359" s="51"/>
      <c r="C359" s="179" t="s">
        <v>210</v>
      </c>
      <c r="D359" s="104" t="s">
        <v>211</v>
      </c>
      <c r="E359" s="104" t="s">
        <v>224</v>
      </c>
      <c r="F359" s="51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</row>
    <row r="360" spans="1:25" hidden="1" outlineLevel="1">
      <c r="A360" s="53"/>
      <c r="B360" s="51"/>
      <c r="C360" s="179" t="s">
        <v>212</v>
      </c>
      <c r="D360" s="104" t="s">
        <v>213</v>
      </c>
      <c r="E360" s="104" t="s">
        <v>225</v>
      </c>
      <c r="F360" s="51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</row>
    <row r="361" spans="1:25" hidden="1" outlineLevel="1">
      <c r="A361" s="53"/>
      <c r="B361" s="51"/>
      <c r="C361" s="179" t="s">
        <v>214</v>
      </c>
      <c r="D361" s="104" t="s">
        <v>215</v>
      </c>
      <c r="E361" s="104" t="s">
        <v>226</v>
      </c>
      <c r="F361" s="51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</row>
    <row r="362" spans="1:25" hidden="1" outlineLevel="1">
      <c r="A362" s="53"/>
      <c r="B362" s="53"/>
      <c r="C362" s="179" t="s">
        <v>216</v>
      </c>
      <c r="D362" s="104" t="s">
        <v>217</v>
      </c>
      <c r="E362" s="104" t="s">
        <v>227</v>
      </c>
      <c r="F362" s="51"/>
    </row>
    <row r="363" spans="1:25" hidden="1" outlineLevel="1">
      <c r="A363" s="53"/>
      <c r="B363" s="53"/>
      <c r="C363" s="179" t="s">
        <v>218</v>
      </c>
      <c r="D363" s="104" t="s">
        <v>219</v>
      </c>
      <c r="E363" s="104" t="s">
        <v>228</v>
      </c>
      <c r="F363" s="53"/>
    </row>
    <row r="364" spans="1:25" hidden="1" outlineLevel="1">
      <c r="A364" s="53"/>
      <c r="B364" s="53"/>
      <c r="C364" s="53"/>
      <c r="D364" s="53"/>
      <c r="E364" s="53"/>
      <c r="F364" s="53"/>
    </row>
    <row r="365" spans="1:25" hidden="1" outlineLevel="1">
      <c r="A365" s="53"/>
      <c r="B365" s="53"/>
      <c r="C365" s="53"/>
      <c r="D365" s="53"/>
      <c r="E365" s="53"/>
      <c r="F365" s="53"/>
    </row>
    <row r="366" spans="1:25" ht="20.25" hidden="1" outlineLevel="1">
      <c r="A366" s="53"/>
      <c r="B366" s="180" t="s">
        <v>229</v>
      </c>
      <c r="C366" s="53"/>
      <c r="D366" s="53"/>
      <c r="E366" s="53"/>
      <c r="F366" s="53"/>
    </row>
    <row r="367" spans="1:25" hidden="1" outlineLevel="1">
      <c r="C367" s="153" t="s">
        <v>230</v>
      </c>
      <c r="D367" s="153" t="s">
        <v>204</v>
      </c>
      <c r="E367" s="153" t="s">
        <v>590</v>
      </c>
      <c r="F367" s="104"/>
      <c r="G367" s="153" t="s">
        <v>220</v>
      </c>
      <c r="M367" s="181"/>
      <c r="N367" s="181"/>
    </row>
    <row r="368" spans="1:25" hidden="1" outlineLevel="1">
      <c r="C368" s="182" t="s">
        <v>231</v>
      </c>
      <c r="D368" s="153" t="s">
        <v>232</v>
      </c>
      <c r="E368" s="153" t="s">
        <v>591</v>
      </c>
      <c r="F368" s="153" t="s">
        <v>600</v>
      </c>
      <c r="G368" s="153" t="s">
        <v>619</v>
      </c>
      <c r="L368" s="181"/>
      <c r="N368" s="183"/>
    </row>
    <row r="369" spans="2:14" hidden="1" outlineLevel="1">
      <c r="C369" s="182" t="s">
        <v>240</v>
      </c>
      <c r="D369" s="153" t="s">
        <v>233</v>
      </c>
      <c r="E369" s="153" t="s">
        <v>592</v>
      </c>
      <c r="F369" s="153" t="s">
        <v>602</v>
      </c>
      <c r="G369" s="153" t="s">
        <v>246</v>
      </c>
      <c r="L369" s="181"/>
      <c r="N369" s="183"/>
    </row>
    <row r="370" spans="2:14" hidden="1" outlineLevel="1">
      <c r="C370" s="182" t="s">
        <v>241</v>
      </c>
      <c r="D370" s="153" t="s">
        <v>234</v>
      </c>
      <c r="E370" s="153" t="s">
        <v>593</v>
      </c>
      <c r="F370" s="153" t="s">
        <v>602</v>
      </c>
      <c r="G370" s="153" t="s">
        <v>247</v>
      </c>
      <c r="L370" s="140"/>
      <c r="M370" s="49"/>
      <c r="N370" s="184"/>
    </row>
    <row r="371" spans="2:14" hidden="1" outlineLevel="1">
      <c r="C371" s="182" t="s">
        <v>588</v>
      </c>
      <c r="D371" s="153" t="s">
        <v>235</v>
      </c>
      <c r="E371" s="153" t="s">
        <v>594</v>
      </c>
      <c r="F371" s="153" t="s">
        <v>602</v>
      </c>
      <c r="G371" s="153" t="s">
        <v>620</v>
      </c>
      <c r="L371" s="140"/>
      <c r="M371" s="49"/>
      <c r="N371" s="184"/>
    </row>
    <row r="372" spans="2:14" hidden="1" outlineLevel="1">
      <c r="C372" s="182" t="s">
        <v>242</v>
      </c>
      <c r="D372" s="153" t="s">
        <v>236</v>
      </c>
      <c r="E372" s="153" t="s">
        <v>595</v>
      </c>
      <c r="F372" s="153" t="s">
        <v>602</v>
      </c>
      <c r="G372" s="153" t="s">
        <v>248</v>
      </c>
      <c r="L372" s="140"/>
      <c r="M372" s="49"/>
      <c r="N372" s="184"/>
    </row>
    <row r="373" spans="2:14" hidden="1" outlineLevel="1">
      <c r="C373" s="182" t="s">
        <v>243</v>
      </c>
      <c r="D373" s="153" t="s">
        <v>237</v>
      </c>
      <c r="E373" s="153" t="s">
        <v>596</v>
      </c>
      <c r="F373" s="153" t="s">
        <v>602</v>
      </c>
      <c r="G373" s="153" t="s">
        <v>249</v>
      </c>
      <c r="L373" s="140"/>
      <c r="M373" s="49"/>
      <c r="N373" s="184"/>
    </row>
    <row r="374" spans="2:14" hidden="1" outlineLevel="1">
      <c r="C374" s="182" t="s">
        <v>244</v>
      </c>
      <c r="D374" s="153" t="s">
        <v>238</v>
      </c>
      <c r="E374" s="153" t="s">
        <v>597</v>
      </c>
      <c r="F374" s="153" t="s">
        <v>601</v>
      </c>
      <c r="G374" s="153" t="s">
        <v>250</v>
      </c>
      <c r="L374" s="140"/>
      <c r="M374" s="49"/>
      <c r="N374" s="184"/>
    </row>
    <row r="375" spans="2:14" hidden="1" outlineLevel="1">
      <c r="C375" s="182" t="s">
        <v>245</v>
      </c>
      <c r="D375" s="153" t="s">
        <v>239</v>
      </c>
      <c r="E375" s="153" t="s">
        <v>598</v>
      </c>
      <c r="F375" s="153" t="s">
        <v>602</v>
      </c>
      <c r="G375" s="153" t="s">
        <v>619</v>
      </c>
      <c r="L375" s="140" t="s">
        <v>599</v>
      </c>
      <c r="M375" s="49" t="str">
        <f>VLOOKUP(G34, C368:E375, 3, FALSE)</f>
        <v>MJ_04</v>
      </c>
      <c r="N375" s="49"/>
    </row>
    <row r="376" spans="2:14" hidden="1" outlineLevel="1">
      <c r="C376" s="181"/>
      <c r="K376" s="140"/>
      <c r="L376" s="140" t="s">
        <v>606</v>
      </c>
      <c r="M376" s="49" t="str">
        <f>VLOOKUP(G34, C368:F375, 4, FALSE)</f>
        <v>MJ2_Other</v>
      </c>
      <c r="N376" s="49"/>
    </row>
    <row r="377" spans="2:14" ht="20.25" hidden="1" outlineLevel="1">
      <c r="B377" s="185" t="s">
        <v>586</v>
      </c>
      <c r="C377" s="181"/>
      <c r="K377" s="140"/>
      <c r="L377" s="49"/>
      <c r="M377" s="49"/>
      <c r="N377" s="49"/>
    </row>
    <row r="378" spans="2:14" hidden="1" outlineLevel="1">
      <c r="C378" s="181"/>
      <c r="D378" s="42" t="s">
        <v>587</v>
      </c>
      <c r="K378" s="140"/>
      <c r="L378" s="49"/>
      <c r="M378" s="49"/>
      <c r="N378" s="49"/>
    </row>
    <row r="379" spans="2:14" hidden="1" outlineLevel="1">
      <c r="K379" s="49"/>
      <c r="L379" s="49"/>
      <c r="M379" s="49"/>
      <c r="N379" s="49"/>
    </row>
    <row r="380" spans="2:14" ht="20.25" hidden="1" outlineLevel="1">
      <c r="B380" s="185"/>
      <c r="C380" s="181" t="s">
        <v>251</v>
      </c>
      <c r="K380" s="153" t="s">
        <v>607</v>
      </c>
      <c r="L380" s="153"/>
      <c r="M380" s="49"/>
      <c r="N380" s="49"/>
    </row>
    <row r="381" spans="2:14" hidden="1" outlineLevel="1">
      <c r="C381" s="181"/>
      <c r="D381" s="182" t="s">
        <v>252</v>
      </c>
      <c r="E381" s="153" t="s">
        <v>204</v>
      </c>
      <c r="K381" s="153" t="s">
        <v>608</v>
      </c>
      <c r="L381" s="153" t="s">
        <v>615</v>
      </c>
      <c r="M381" s="49"/>
      <c r="N381" s="49"/>
    </row>
    <row r="382" spans="2:14" hidden="1" outlineLevel="1">
      <c r="C382" s="181"/>
      <c r="D382" s="182" t="s">
        <v>253</v>
      </c>
      <c r="E382" s="153" t="s">
        <v>232</v>
      </c>
      <c r="K382" s="153" t="s">
        <v>609</v>
      </c>
      <c r="L382" s="153" t="e">
        <f>VLOOKUP(G37,D382:E388,2,FALSE)</f>
        <v>#N/A</v>
      </c>
      <c r="M382" s="49"/>
      <c r="N382" s="49"/>
    </row>
    <row r="383" spans="2:14" hidden="1" outlineLevel="1">
      <c r="D383" s="182" t="s">
        <v>254</v>
      </c>
      <c r="E383" s="153" t="s">
        <v>255</v>
      </c>
      <c r="K383" s="186" t="s">
        <v>610</v>
      </c>
      <c r="L383" s="153" t="e">
        <f>VLOOKUP(G37,D392:E397,2,FALSE)</f>
        <v>#N/A</v>
      </c>
      <c r="M383" s="49"/>
    </row>
    <row r="384" spans="2:14" hidden="1" outlineLevel="1">
      <c r="D384" s="182" t="s">
        <v>257</v>
      </c>
      <c r="E384" s="153" t="s">
        <v>256</v>
      </c>
      <c r="K384" s="186" t="s">
        <v>611</v>
      </c>
      <c r="L384" s="153" t="e">
        <f>VLOOKUP(G37,D402:E409,2,FALSE)</f>
        <v>#N/A</v>
      </c>
      <c r="M384" s="49"/>
    </row>
    <row r="385" spans="2:13" hidden="1" outlineLevel="1">
      <c r="D385" s="182" t="s">
        <v>258</v>
      </c>
      <c r="E385" s="153" t="s">
        <v>260</v>
      </c>
      <c r="K385" s="186" t="s">
        <v>612</v>
      </c>
      <c r="L385" s="153" t="str">
        <f>VLOOKUP(G37,D413:E429,2,FALSE)</f>
        <v>0x04</v>
      </c>
      <c r="M385" s="49"/>
    </row>
    <row r="386" spans="2:13" hidden="1" outlineLevel="1">
      <c r="D386" s="182" t="s">
        <v>259</v>
      </c>
      <c r="E386" s="153" t="s">
        <v>261</v>
      </c>
      <c r="K386" s="186" t="s">
        <v>613</v>
      </c>
      <c r="L386" s="153" t="e">
        <f>VLOOKUP(G37,D435:E437,2,FALSE)</f>
        <v>#N/A</v>
      </c>
      <c r="M386" s="49"/>
    </row>
    <row r="387" spans="2:13" hidden="1" outlineLevel="1">
      <c r="D387" s="182" t="s">
        <v>263</v>
      </c>
      <c r="E387" s="153" t="s">
        <v>262</v>
      </c>
      <c r="K387" s="186" t="s">
        <v>614</v>
      </c>
      <c r="L387" s="153" t="e">
        <f>VLOOKUP(G37,D451:E465,2,FALSE)</f>
        <v>#N/A</v>
      </c>
      <c r="M387" s="153" t="str">
        <f>VLOOKUP(K34, K381:L387,2,FALSE)</f>
        <v>0x04</v>
      </c>
    </row>
    <row r="388" spans="2:13" hidden="1" outlineLevel="1">
      <c r="D388" s="182" t="s">
        <v>264</v>
      </c>
      <c r="E388" s="153" t="s">
        <v>265</v>
      </c>
      <c r="K388" s="138"/>
    </row>
    <row r="389" spans="2:13" hidden="1" outlineLevel="1">
      <c r="D389" s="181"/>
      <c r="K389" s="186" t="s">
        <v>616</v>
      </c>
      <c r="L389" s="153"/>
    </row>
    <row r="390" spans="2:13" ht="20.25" hidden="1" outlineLevel="1">
      <c r="B390" s="185" t="s">
        <v>266</v>
      </c>
      <c r="D390" s="181"/>
      <c r="K390" s="153" t="s">
        <v>608</v>
      </c>
      <c r="L390" s="153" t="s">
        <v>617</v>
      </c>
    </row>
    <row r="391" spans="2:13" hidden="1" outlineLevel="1">
      <c r="D391" s="182" t="s">
        <v>267</v>
      </c>
      <c r="E391" s="153" t="s">
        <v>268</v>
      </c>
      <c r="K391" s="153" t="s">
        <v>609</v>
      </c>
      <c r="L391" s="153" t="s">
        <v>617</v>
      </c>
    </row>
    <row r="392" spans="2:13" hidden="1" outlineLevel="1">
      <c r="D392" s="182" t="s">
        <v>269</v>
      </c>
      <c r="E392" s="153" t="s">
        <v>270</v>
      </c>
      <c r="K392" s="186" t="s">
        <v>610</v>
      </c>
      <c r="L392" s="153" t="s">
        <v>617</v>
      </c>
    </row>
    <row r="393" spans="2:13" hidden="1" outlineLevel="1">
      <c r="D393" s="182" t="s">
        <v>271</v>
      </c>
      <c r="E393" s="153" t="s">
        <v>276</v>
      </c>
      <c r="K393" s="186" t="s">
        <v>611</v>
      </c>
      <c r="L393" s="153" t="s">
        <v>617</v>
      </c>
    </row>
    <row r="394" spans="2:13" hidden="1" outlineLevel="1">
      <c r="D394" s="182" t="s">
        <v>272</v>
      </c>
      <c r="E394" s="153" t="s">
        <v>277</v>
      </c>
      <c r="K394" s="186" t="s">
        <v>612</v>
      </c>
      <c r="L394" s="153" t="s">
        <v>617</v>
      </c>
    </row>
    <row r="395" spans="2:13" hidden="1" outlineLevel="1">
      <c r="D395" s="182" t="s">
        <v>273</v>
      </c>
      <c r="E395" s="153" t="s">
        <v>279</v>
      </c>
      <c r="K395" s="186" t="s">
        <v>613</v>
      </c>
      <c r="L395" s="153" t="e">
        <f>VLOOKUP(G39,D441:E447,2,FALSE)</f>
        <v>#N/A</v>
      </c>
    </row>
    <row r="396" spans="2:13" hidden="1" outlineLevel="1">
      <c r="D396" s="182" t="s">
        <v>274</v>
      </c>
      <c r="E396" s="153" t="s">
        <v>280</v>
      </c>
      <c r="K396" s="186" t="s">
        <v>614</v>
      </c>
      <c r="L396" s="153" t="s">
        <v>617</v>
      </c>
      <c r="M396" s="153" t="str">
        <f>VLOOKUP(K34, K390:L396,2,FALSE)</f>
        <v>0x00</v>
      </c>
    </row>
    <row r="397" spans="2:13" hidden="1" outlineLevel="1">
      <c r="D397" s="182" t="s">
        <v>275</v>
      </c>
      <c r="E397" s="153" t="s">
        <v>278</v>
      </c>
    </row>
    <row r="398" spans="2:13" hidden="1" outlineLevel="1"/>
    <row r="399" spans="2:13" hidden="1" outlineLevel="1"/>
    <row r="400" spans="2:13" ht="20.25" hidden="1" outlineLevel="1">
      <c r="B400" s="185" t="s">
        <v>589</v>
      </c>
    </row>
    <row r="401" spans="2:5" hidden="1" outlineLevel="1">
      <c r="D401" s="153" t="s">
        <v>267</v>
      </c>
      <c r="E401" s="153" t="s">
        <v>268</v>
      </c>
    </row>
    <row r="402" spans="2:5" hidden="1" outlineLevel="1">
      <c r="D402" s="182" t="s">
        <v>281</v>
      </c>
      <c r="E402" s="153" t="s">
        <v>289</v>
      </c>
    </row>
    <row r="403" spans="2:5" hidden="1" outlineLevel="1">
      <c r="D403" s="182" t="s">
        <v>282</v>
      </c>
      <c r="E403" s="153" t="s">
        <v>290</v>
      </c>
    </row>
    <row r="404" spans="2:5" hidden="1" outlineLevel="1">
      <c r="D404" s="182" t="s">
        <v>283</v>
      </c>
      <c r="E404" s="153" t="s">
        <v>291</v>
      </c>
    </row>
    <row r="405" spans="2:5" hidden="1" outlineLevel="1">
      <c r="D405" s="182" t="s">
        <v>284</v>
      </c>
      <c r="E405" s="153" t="s">
        <v>292</v>
      </c>
    </row>
    <row r="406" spans="2:5" hidden="1" outlineLevel="1">
      <c r="D406" s="182" t="s">
        <v>285</v>
      </c>
      <c r="E406" s="153" t="s">
        <v>293</v>
      </c>
    </row>
    <row r="407" spans="2:5" hidden="1" outlineLevel="1">
      <c r="D407" s="182" t="s">
        <v>286</v>
      </c>
      <c r="E407" s="153" t="s">
        <v>294</v>
      </c>
    </row>
    <row r="408" spans="2:5" hidden="1" outlineLevel="1">
      <c r="D408" s="182" t="s">
        <v>287</v>
      </c>
      <c r="E408" s="153" t="s">
        <v>295</v>
      </c>
    </row>
    <row r="409" spans="2:5" hidden="1" outlineLevel="1">
      <c r="D409" s="182" t="s">
        <v>288</v>
      </c>
      <c r="E409" s="153" t="s">
        <v>296</v>
      </c>
    </row>
    <row r="410" spans="2:5" hidden="1" outlineLevel="1"/>
    <row r="411" spans="2:5" ht="20.25" hidden="1" outlineLevel="1">
      <c r="B411" s="185" t="s">
        <v>297</v>
      </c>
    </row>
    <row r="412" spans="2:5" hidden="1" outlineLevel="1">
      <c r="D412" s="182" t="s">
        <v>298</v>
      </c>
      <c r="E412" s="153" t="s">
        <v>268</v>
      </c>
    </row>
    <row r="413" spans="2:5" hidden="1" outlineLevel="1">
      <c r="D413" s="182" t="s">
        <v>299</v>
      </c>
      <c r="E413" s="153" t="s">
        <v>289</v>
      </c>
    </row>
    <row r="414" spans="2:5" hidden="1" outlineLevel="1">
      <c r="D414" s="182" t="s">
        <v>688</v>
      </c>
      <c r="E414" s="153" t="s">
        <v>276</v>
      </c>
    </row>
    <row r="415" spans="2:5" hidden="1" outlineLevel="1">
      <c r="D415" s="182" t="s">
        <v>300</v>
      </c>
      <c r="E415" s="153" t="s">
        <v>312</v>
      </c>
    </row>
    <row r="416" spans="2:5" hidden="1" outlineLevel="1">
      <c r="D416" s="182" t="s">
        <v>301</v>
      </c>
      <c r="E416" s="153" t="s">
        <v>302</v>
      </c>
    </row>
    <row r="417" spans="4:5" hidden="1" outlineLevel="1">
      <c r="D417" s="182" t="s">
        <v>303</v>
      </c>
      <c r="E417" s="153" t="s">
        <v>313</v>
      </c>
    </row>
    <row r="418" spans="4:5" hidden="1" outlineLevel="1">
      <c r="D418" s="182" t="s">
        <v>304</v>
      </c>
      <c r="E418" s="153" t="s">
        <v>278</v>
      </c>
    </row>
    <row r="419" spans="4:5" hidden="1" outlineLevel="1">
      <c r="D419" s="182" t="s">
        <v>305</v>
      </c>
      <c r="E419" s="153" t="s">
        <v>318</v>
      </c>
    </row>
    <row r="420" spans="4:5" hidden="1" outlineLevel="1">
      <c r="D420" s="182" t="s">
        <v>306</v>
      </c>
      <c r="E420" s="153" t="s">
        <v>319</v>
      </c>
    </row>
    <row r="421" spans="4:5" hidden="1" outlineLevel="1">
      <c r="D421" s="182" t="s">
        <v>307</v>
      </c>
      <c r="E421" s="153" t="s">
        <v>320</v>
      </c>
    </row>
    <row r="422" spans="4:5" hidden="1" outlineLevel="1">
      <c r="D422" s="182" t="s">
        <v>308</v>
      </c>
      <c r="E422" s="153" t="s">
        <v>321</v>
      </c>
    </row>
    <row r="423" spans="4:5" hidden="1" outlineLevel="1">
      <c r="D423" s="182" t="s">
        <v>309</v>
      </c>
      <c r="E423" s="153" t="s">
        <v>322</v>
      </c>
    </row>
    <row r="424" spans="4:5" hidden="1" outlineLevel="1">
      <c r="D424" s="182" t="s">
        <v>310</v>
      </c>
      <c r="E424" s="153" t="s">
        <v>323</v>
      </c>
    </row>
    <row r="425" spans="4:5" hidden="1" outlineLevel="1">
      <c r="D425" s="182" t="s">
        <v>311</v>
      </c>
      <c r="E425" s="153" t="s">
        <v>324</v>
      </c>
    </row>
    <row r="426" spans="4:5" hidden="1" outlineLevel="1">
      <c r="D426" s="182" t="s">
        <v>314</v>
      </c>
      <c r="E426" s="153" t="s">
        <v>325</v>
      </c>
    </row>
    <row r="427" spans="4:5" hidden="1" outlineLevel="1">
      <c r="D427" s="182" t="s">
        <v>315</v>
      </c>
      <c r="E427" s="153" t="s">
        <v>326</v>
      </c>
    </row>
    <row r="428" spans="4:5" hidden="1" outlineLevel="1">
      <c r="D428" s="182" t="s">
        <v>316</v>
      </c>
      <c r="E428" s="153" t="s">
        <v>327</v>
      </c>
    </row>
    <row r="429" spans="4:5" hidden="1" outlineLevel="1">
      <c r="D429" s="182" t="s">
        <v>317</v>
      </c>
      <c r="E429" s="153" t="s">
        <v>328</v>
      </c>
    </row>
    <row r="430" spans="4:5" hidden="1" outlineLevel="1">
      <c r="D430" s="182" t="s">
        <v>301</v>
      </c>
      <c r="E430" s="153" t="s">
        <v>329</v>
      </c>
    </row>
    <row r="431" spans="4:5" hidden="1" outlineLevel="1"/>
    <row r="432" spans="4:5" hidden="1" outlineLevel="1"/>
    <row r="433" spans="2:7" ht="20.25" hidden="1" outlineLevel="1">
      <c r="B433" s="185" t="s">
        <v>351</v>
      </c>
    </row>
    <row r="434" spans="2:7" hidden="1" outlineLevel="1">
      <c r="D434" s="153" t="s">
        <v>298</v>
      </c>
      <c r="E434" s="153" t="s">
        <v>330</v>
      </c>
    </row>
    <row r="435" spans="2:7" hidden="1" outlineLevel="1">
      <c r="D435" s="182" t="s">
        <v>331</v>
      </c>
      <c r="E435" s="153" t="s">
        <v>332</v>
      </c>
    </row>
    <row r="436" spans="2:7" hidden="1" outlineLevel="1">
      <c r="D436" s="182" t="s">
        <v>333</v>
      </c>
      <c r="E436" s="153" t="s">
        <v>334</v>
      </c>
    </row>
    <row r="437" spans="2:7" hidden="1" outlineLevel="1">
      <c r="D437" s="182" t="s">
        <v>335</v>
      </c>
      <c r="E437" s="153" t="s">
        <v>336</v>
      </c>
    </row>
    <row r="438" spans="2:7" hidden="1" outlineLevel="1">
      <c r="D438" s="181"/>
    </row>
    <row r="439" spans="2:7" hidden="1" outlineLevel="1">
      <c r="D439" s="181" t="s">
        <v>601</v>
      </c>
      <c r="G439" s="42" t="s">
        <v>604</v>
      </c>
    </row>
    <row r="440" spans="2:7" hidden="1" outlineLevel="1">
      <c r="D440" s="182" t="s">
        <v>337</v>
      </c>
      <c r="E440" s="153" t="s">
        <v>338</v>
      </c>
    </row>
    <row r="441" spans="2:7" hidden="1" outlineLevel="1">
      <c r="D441" s="182" t="s">
        <v>339</v>
      </c>
      <c r="E441" s="153" t="s">
        <v>340</v>
      </c>
      <c r="G441" s="42" t="s">
        <v>603</v>
      </c>
    </row>
    <row r="442" spans="2:7" hidden="1" outlineLevel="1">
      <c r="D442" s="182" t="s">
        <v>341</v>
      </c>
      <c r="E442" s="153" t="s">
        <v>276</v>
      </c>
    </row>
    <row r="443" spans="2:7" hidden="1" outlineLevel="1">
      <c r="D443" s="182" t="s">
        <v>342</v>
      </c>
      <c r="E443" s="153" t="s">
        <v>343</v>
      </c>
    </row>
    <row r="444" spans="2:7" hidden="1" outlineLevel="1">
      <c r="D444" s="182" t="s">
        <v>344</v>
      </c>
      <c r="E444" s="153" t="s">
        <v>345</v>
      </c>
    </row>
    <row r="445" spans="2:7" hidden="1" outlineLevel="1">
      <c r="D445" s="182" t="s">
        <v>346</v>
      </c>
      <c r="E445" s="153" t="s">
        <v>347</v>
      </c>
    </row>
    <row r="446" spans="2:7" hidden="1" outlineLevel="1">
      <c r="D446" s="182" t="s">
        <v>348</v>
      </c>
      <c r="E446" s="153" t="s">
        <v>278</v>
      </c>
    </row>
    <row r="447" spans="2:7" hidden="1" outlineLevel="1">
      <c r="D447" s="182" t="s">
        <v>349</v>
      </c>
      <c r="E447" s="153" t="s">
        <v>350</v>
      </c>
    </row>
    <row r="448" spans="2:7" hidden="1" outlineLevel="1"/>
    <row r="449" spans="2:5" ht="20.25" hidden="1" outlineLevel="1">
      <c r="B449" s="185" t="s">
        <v>352</v>
      </c>
    </row>
    <row r="450" spans="2:5" hidden="1" outlineLevel="1">
      <c r="D450" s="182" t="s">
        <v>298</v>
      </c>
      <c r="E450" s="153" t="s">
        <v>268</v>
      </c>
    </row>
    <row r="451" spans="2:5" hidden="1" outlineLevel="1">
      <c r="D451" s="182" t="s">
        <v>353</v>
      </c>
      <c r="E451" s="153" t="s">
        <v>355</v>
      </c>
    </row>
    <row r="452" spans="2:5" hidden="1" outlineLevel="1">
      <c r="D452" s="182" t="s">
        <v>354</v>
      </c>
      <c r="E452" s="153" t="s">
        <v>357</v>
      </c>
    </row>
    <row r="453" spans="2:5" hidden="1" outlineLevel="1">
      <c r="D453" s="182" t="s">
        <v>358</v>
      </c>
      <c r="E453" s="153" t="s">
        <v>359</v>
      </c>
    </row>
    <row r="454" spans="2:5" hidden="1" outlineLevel="1">
      <c r="D454" s="182" t="s">
        <v>366</v>
      </c>
      <c r="E454" s="153" t="s">
        <v>367</v>
      </c>
    </row>
    <row r="455" spans="2:5" hidden="1" outlineLevel="1">
      <c r="D455" s="182" t="s">
        <v>382</v>
      </c>
      <c r="E455" s="153" t="s">
        <v>356</v>
      </c>
    </row>
    <row r="456" spans="2:5" hidden="1" outlineLevel="1">
      <c r="D456" s="182" t="s">
        <v>360</v>
      </c>
      <c r="E456" s="153" t="s">
        <v>361</v>
      </c>
    </row>
    <row r="457" spans="2:5" hidden="1" outlineLevel="1">
      <c r="D457" s="182" t="s">
        <v>362</v>
      </c>
      <c r="E457" s="153" t="s">
        <v>363</v>
      </c>
    </row>
    <row r="458" spans="2:5" hidden="1" outlineLevel="1">
      <c r="D458" s="182" t="s">
        <v>368</v>
      </c>
      <c r="E458" s="153" t="s">
        <v>369</v>
      </c>
    </row>
    <row r="459" spans="2:5" hidden="1" outlineLevel="1">
      <c r="D459" s="182" t="s">
        <v>370</v>
      </c>
      <c r="E459" s="153" t="s">
        <v>371</v>
      </c>
    </row>
    <row r="460" spans="2:5" hidden="1" outlineLevel="1">
      <c r="D460" s="182" t="s">
        <v>374</v>
      </c>
      <c r="E460" s="153" t="s">
        <v>375</v>
      </c>
    </row>
    <row r="461" spans="2:5" hidden="1" outlineLevel="1">
      <c r="D461" s="182" t="s">
        <v>364</v>
      </c>
      <c r="E461" s="153" t="s">
        <v>365</v>
      </c>
    </row>
    <row r="462" spans="2:5" hidden="1" outlineLevel="1">
      <c r="D462" s="182" t="s">
        <v>372</v>
      </c>
      <c r="E462" s="153" t="s">
        <v>373</v>
      </c>
    </row>
    <row r="463" spans="2:5" hidden="1" outlineLevel="1">
      <c r="D463" s="182" t="s">
        <v>376</v>
      </c>
      <c r="E463" s="153" t="s">
        <v>377</v>
      </c>
    </row>
    <row r="464" spans="2:5" hidden="1" outlineLevel="1">
      <c r="D464" s="182" t="s">
        <v>378</v>
      </c>
      <c r="E464" s="153" t="s">
        <v>379</v>
      </c>
    </row>
    <row r="465" spans="2:6" hidden="1" outlineLevel="1">
      <c r="D465" s="182" t="s">
        <v>380</v>
      </c>
      <c r="E465" s="153" t="s">
        <v>381</v>
      </c>
    </row>
    <row r="466" spans="2:6" hidden="1" outlineLevel="1"/>
    <row r="467" spans="2:6" hidden="1" outlineLevel="1"/>
    <row r="468" spans="2:6" ht="20.25" hidden="1" outlineLevel="1">
      <c r="B468" s="185" t="s">
        <v>627</v>
      </c>
    </row>
    <row r="469" spans="2:6" hidden="1" outlineLevel="1">
      <c r="D469" s="181" t="s">
        <v>383</v>
      </c>
      <c r="E469" s="42" t="s">
        <v>384</v>
      </c>
    </row>
    <row r="470" spans="2:6" hidden="1" outlineLevel="1">
      <c r="D470" s="182" t="s">
        <v>647</v>
      </c>
      <c r="E470" s="153" t="s">
        <v>653</v>
      </c>
      <c r="F470" s="153" t="s">
        <v>647</v>
      </c>
    </row>
    <row r="471" spans="2:6" hidden="1" outlineLevel="1">
      <c r="D471" s="182" t="s">
        <v>386</v>
      </c>
      <c r="E471" s="153" t="s">
        <v>387</v>
      </c>
      <c r="F471" s="153" t="s">
        <v>385</v>
      </c>
    </row>
    <row r="472" spans="2:6" hidden="1" outlineLevel="1">
      <c r="D472" s="182" t="s">
        <v>388</v>
      </c>
      <c r="E472" s="153" t="s">
        <v>389</v>
      </c>
      <c r="F472" s="153" t="s">
        <v>421</v>
      </c>
    </row>
    <row r="473" spans="2:6" hidden="1" outlineLevel="1">
      <c r="D473" s="182" t="s">
        <v>390</v>
      </c>
      <c r="E473" s="153" t="s">
        <v>391</v>
      </c>
      <c r="F473" s="153" t="s">
        <v>421</v>
      </c>
    </row>
    <row r="474" spans="2:6" hidden="1" outlineLevel="1">
      <c r="D474" s="182" t="s">
        <v>393</v>
      </c>
      <c r="E474" s="153" t="s">
        <v>394</v>
      </c>
      <c r="F474" s="153" t="s">
        <v>392</v>
      </c>
    </row>
    <row r="475" spans="2:6" hidden="1" outlineLevel="1">
      <c r="D475" s="182" t="s">
        <v>396</v>
      </c>
      <c r="E475" s="153" t="s">
        <v>397</v>
      </c>
      <c r="F475" s="153" t="s">
        <v>395</v>
      </c>
    </row>
    <row r="476" spans="2:6" hidden="1" outlineLevel="1">
      <c r="D476" s="182" t="s">
        <v>399</v>
      </c>
      <c r="E476" s="153" t="s">
        <v>400</v>
      </c>
      <c r="F476" s="153" t="s">
        <v>398</v>
      </c>
    </row>
    <row r="477" spans="2:6" hidden="1" outlineLevel="1">
      <c r="D477" s="182" t="s">
        <v>402</v>
      </c>
      <c r="E477" s="153" t="s">
        <v>403</v>
      </c>
      <c r="F477" s="153" t="s">
        <v>401</v>
      </c>
    </row>
    <row r="478" spans="2:6" hidden="1" outlineLevel="1">
      <c r="D478" s="182" t="s">
        <v>405</v>
      </c>
      <c r="E478" s="153" t="s">
        <v>406</v>
      </c>
      <c r="F478" s="153" t="s">
        <v>404</v>
      </c>
    </row>
    <row r="479" spans="2:6" hidden="1" outlineLevel="1">
      <c r="D479" s="182" t="s">
        <v>408</v>
      </c>
      <c r="E479" s="153" t="s">
        <v>409</v>
      </c>
      <c r="F479" s="153" t="s">
        <v>407</v>
      </c>
    </row>
    <row r="480" spans="2:6" hidden="1" outlineLevel="1">
      <c r="D480" s="182" t="s">
        <v>410</v>
      </c>
      <c r="E480" s="153" t="s">
        <v>411</v>
      </c>
      <c r="F480" s="153" t="s">
        <v>401</v>
      </c>
    </row>
    <row r="481" spans="4:6" hidden="1" outlineLevel="1">
      <c r="D481" s="182" t="s">
        <v>413</v>
      </c>
      <c r="E481" s="153" t="s">
        <v>414</v>
      </c>
      <c r="F481" s="153" t="s">
        <v>412</v>
      </c>
    </row>
    <row r="482" spans="4:6" hidden="1" outlineLevel="1">
      <c r="D482" s="182" t="s">
        <v>416</v>
      </c>
      <c r="E482" s="153" t="s">
        <v>417</v>
      </c>
      <c r="F482" s="153" t="s">
        <v>415</v>
      </c>
    </row>
    <row r="483" spans="4:6" hidden="1" outlineLevel="1">
      <c r="D483" s="182" t="s">
        <v>419</v>
      </c>
      <c r="E483" s="153" t="s">
        <v>420</v>
      </c>
      <c r="F483" s="153" t="s">
        <v>418</v>
      </c>
    </row>
    <row r="484" spans="4:6" hidden="1" outlineLevel="1">
      <c r="D484" s="182" t="s">
        <v>422</v>
      </c>
      <c r="E484" s="153" t="s">
        <v>423</v>
      </c>
      <c r="F484" s="153" t="s">
        <v>418</v>
      </c>
    </row>
    <row r="485" spans="4:6" hidden="1" outlineLevel="1">
      <c r="D485" s="182" t="s">
        <v>425</v>
      </c>
      <c r="E485" s="153" t="s">
        <v>426</v>
      </c>
      <c r="F485" s="153" t="s">
        <v>424</v>
      </c>
    </row>
    <row r="486" spans="4:6" hidden="1" outlineLevel="1">
      <c r="D486" s="182" t="s">
        <v>427</v>
      </c>
      <c r="E486" s="153" t="s">
        <v>428</v>
      </c>
      <c r="F486" s="153" t="s">
        <v>418</v>
      </c>
    </row>
    <row r="487" spans="4:6" hidden="1" outlineLevel="1">
      <c r="D487" s="182" t="s">
        <v>429</v>
      </c>
      <c r="E487" s="153" t="s">
        <v>430</v>
      </c>
      <c r="F487" s="153" t="s">
        <v>424</v>
      </c>
    </row>
    <row r="488" spans="4:6" hidden="1" outlineLevel="1">
      <c r="D488" s="182" t="s">
        <v>431</v>
      </c>
      <c r="E488" s="153" t="s">
        <v>432</v>
      </c>
      <c r="F488" s="153" t="s">
        <v>424</v>
      </c>
    </row>
    <row r="489" spans="4:6" hidden="1" outlineLevel="1">
      <c r="D489" s="182" t="s">
        <v>434</v>
      </c>
      <c r="E489" s="153" t="s">
        <v>435</v>
      </c>
      <c r="F489" s="153" t="s">
        <v>433</v>
      </c>
    </row>
    <row r="490" spans="4:6" hidden="1" outlineLevel="1">
      <c r="D490" s="182" t="s">
        <v>437</v>
      </c>
      <c r="E490" s="153" t="s">
        <v>438</v>
      </c>
      <c r="F490" s="153" t="s">
        <v>436</v>
      </c>
    </row>
    <row r="491" spans="4:6" hidden="1" outlineLevel="1">
      <c r="D491" s="182" t="s">
        <v>439</v>
      </c>
      <c r="E491" s="153" t="s">
        <v>440</v>
      </c>
      <c r="F491" s="153" t="s">
        <v>412</v>
      </c>
    </row>
    <row r="492" spans="4:6" hidden="1" outlineLevel="1">
      <c r="D492" s="182" t="s">
        <v>441</v>
      </c>
      <c r="E492" s="153" t="s">
        <v>442</v>
      </c>
      <c r="F492" s="153" t="s">
        <v>456</v>
      </c>
    </row>
    <row r="493" spans="4:6" hidden="1" outlineLevel="1">
      <c r="D493" s="182" t="s">
        <v>443</v>
      </c>
      <c r="E493" s="153" t="s">
        <v>444</v>
      </c>
      <c r="F493" s="153" t="s">
        <v>456</v>
      </c>
    </row>
    <row r="494" spans="4:6" hidden="1" outlineLevel="1">
      <c r="D494" s="182" t="s">
        <v>446</v>
      </c>
      <c r="E494" s="153" t="s">
        <v>447</v>
      </c>
      <c r="F494" s="153" t="s">
        <v>445</v>
      </c>
    </row>
    <row r="495" spans="4:6" hidden="1" outlineLevel="1">
      <c r="D495" s="182" t="s">
        <v>448</v>
      </c>
      <c r="E495" s="153" t="s">
        <v>449</v>
      </c>
      <c r="F495" s="153" t="s">
        <v>445</v>
      </c>
    </row>
    <row r="496" spans="4:6" hidden="1" outlineLevel="1">
      <c r="D496" s="182" t="s">
        <v>450</v>
      </c>
      <c r="E496" s="153" t="s">
        <v>451</v>
      </c>
      <c r="F496" s="153" t="s">
        <v>445</v>
      </c>
    </row>
    <row r="497" spans="4:6" hidden="1" outlineLevel="1">
      <c r="D497" s="182" t="s">
        <v>453</v>
      </c>
      <c r="E497" s="153" t="s">
        <v>454</v>
      </c>
      <c r="F497" s="153" t="s">
        <v>452</v>
      </c>
    </row>
    <row r="498" spans="4:6" hidden="1" outlineLevel="1">
      <c r="D498" s="182" t="s">
        <v>457</v>
      </c>
      <c r="E498" s="153" t="s">
        <v>458</v>
      </c>
      <c r="F498" s="153" t="s">
        <v>455</v>
      </c>
    </row>
    <row r="499" spans="4:6" hidden="1" outlineLevel="1">
      <c r="D499" s="182" t="s">
        <v>460</v>
      </c>
      <c r="E499" s="153" t="s">
        <v>461</v>
      </c>
      <c r="F499" s="153" t="s">
        <v>459</v>
      </c>
    </row>
    <row r="500" spans="4:6" hidden="1" outlineLevel="1">
      <c r="D500" s="182" t="s">
        <v>462</v>
      </c>
      <c r="E500" s="153" t="s">
        <v>463</v>
      </c>
      <c r="F500" s="153" t="s">
        <v>459</v>
      </c>
    </row>
    <row r="501" spans="4:6" hidden="1" outlineLevel="1">
      <c r="D501" s="182" t="s">
        <v>464</v>
      </c>
      <c r="E501" s="153" t="s">
        <v>465</v>
      </c>
      <c r="F501" s="153" t="s">
        <v>459</v>
      </c>
    </row>
    <row r="502" spans="4:6" hidden="1" outlineLevel="1">
      <c r="D502" s="182" t="s">
        <v>466</v>
      </c>
      <c r="E502" s="153" t="s">
        <v>467</v>
      </c>
      <c r="F502" s="153" t="s">
        <v>459</v>
      </c>
    </row>
    <row r="503" spans="4:6" hidden="1" outlineLevel="1">
      <c r="D503" s="182" t="s">
        <v>469</v>
      </c>
      <c r="E503" s="153" t="s">
        <v>470</v>
      </c>
      <c r="F503" s="153" t="s">
        <v>468</v>
      </c>
    </row>
    <row r="504" spans="4:6" hidden="1" outlineLevel="1">
      <c r="D504" s="182" t="s">
        <v>472</v>
      </c>
      <c r="E504" s="153" t="s">
        <v>473</v>
      </c>
      <c r="F504" s="153" t="s">
        <v>471</v>
      </c>
    </row>
    <row r="505" spans="4:6" hidden="1" outlineLevel="1">
      <c r="D505" s="182" t="s">
        <v>474</v>
      </c>
      <c r="E505" s="153" t="s">
        <v>475</v>
      </c>
      <c r="F505" s="153" t="s">
        <v>452</v>
      </c>
    </row>
    <row r="506" spans="4:6" hidden="1" outlineLevel="1">
      <c r="D506" s="182" t="s">
        <v>476</v>
      </c>
      <c r="E506" s="153" t="s">
        <v>477</v>
      </c>
      <c r="F506" s="153" t="s">
        <v>452</v>
      </c>
    </row>
    <row r="507" spans="4:6" hidden="1" outlineLevel="1">
      <c r="D507" s="182" t="s">
        <v>478</v>
      </c>
      <c r="E507" s="153" t="s">
        <v>479</v>
      </c>
      <c r="F507" s="153" t="s">
        <v>452</v>
      </c>
    </row>
    <row r="508" spans="4:6" hidden="1" outlineLevel="1">
      <c r="D508" s="182" t="s">
        <v>480</v>
      </c>
      <c r="E508" s="153" t="s">
        <v>481</v>
      </c>
      <c r="F508" s="153" t="s">
        <v>452</v>
      </c>
    </row>
    <row r="509" spans="4:6" hidden="1" outlineLevel="1">
      <c r="D509" s="182" t="s">
        <v>483</v>
      </c>
      <c r="E509" s="153" t="s">
        <v>484</v>
      </c>
      <c r="F509" s="153" t="s">
        <v>482</v>
      </c>
    </row>
    <row r="510" spans="4:6" hidden="1" outlineLevel="1">
      <c r="D510" s="182" t="s">
        <v>486</v>
      </c>
      <c r="E510" s="153" t="s">
        <v>487</v>
      </c>
      <c r="F510" s="153" t="s">
        <v>485</v>
      </c>
    </row>
    <row r="511" spans="4:6" hidden="1" outlineLevel="1">
      <c r="D511" s="182" t="s">
        <v>488</v>
      </c>
      <c r="E511" s="153" t="s">
        <v>489</v>
      </c>
      <c r="F511" s="153" t="s">
        <v>485</v>
      </c>
    </row>
    <row r="512" spans="4:6" hidden="1" outlineLevel="1">
      <c r="D512" s="182" t="s">
        <v>490</v>
      </c>
      <c r="E512" s="153" t="s">
        <v>491</v>
      </c>
      <c r="F512" s="153" t="s">
        <v>485</v>
      </c>
    </row>
    <row r="513" spans="4:6" hidden="1" outlineLevel="1">
      <c r="D513" s="182" t="s">
        <v>493</v>
      </c>
      <c r="E513" s="153" t="s">
        <v>494</v>
      </c>
      <c r="F513" s="153" t="s">
        <v>492</v>
      </c>
    </row>
    <row r="514" spans="4:6" hidden="1" outlineLevel="1">
      <c r="D514" s="182" t="s">
        <v>496</v>
      </c>
      <c r="E514" s="153" t="s">
        <v>497</v>
      </c>
      <c r="F514" s="153" t="s">
        <v>495</v>
      </c>
    </row>
    <row r="515" spans="4:6" hidden="1" outlineLevel="1">
      <c r="D515" s="182" t="s">
        <v>499</v>
      </c>
      <c r="E515" s="153" t="s">
        <v>500</v>
      </c>
      <c r="F515" s="153" t="s">
        <v>498</v>
      </c>
    </row>
    <row r="516" spans="4:6" hidden="1" outlineLevel="1">
      <c r="D516" s="182" t="s">
        <v>501</v>
      </c>
      <c r="E516" s="153" t="s">
        <v>502</v>
      </c>
      <c r="F516" s="153" t="s">
        <v>498</v>
      </c>
    </row>
    <row r="517" spans="4:6" hidden="1" outlineLevel="1">
      <c r="D517" s="182" t="s">
        <v>503</v>
      </c>
      <c r="E517" s="153" t="s">
        <v>504</v>
      </c>
      <c r="F517" s="153" t="s">
        <v>498</v>
      </c>
    </row>
    <row r="518" spans="4:6" hidden="1" outlineLevel="1">
      <c r="D518" s="182" t="s">
        <v>505</v>
      </c>
      <c r="E518" s="153" t="s">
        <v>506</v>
      </c>
      <c r="F518" s="153" t="s">
        <v>412</v>
      </c>
    </row>
    <row r="519" spans="4:6" hidden="1" outlineLevel="1">
      <c r="D519" s="182" t="s">
        <v>508</v>
      </c>
      <c r="E519" s="153" t="s">
        <v>509</v>
      </c>
      <c r="F519" s="153" t="s">
        <v>507</v>
      </c>
    </row>
    <row r="520" spans="4:6" hidden="1" outlineLevel="1">
      <c r="D520" s="182" t="s">
        <v>510</v>
      </c>
      <c r="E520" s="153" t="s">
        <v>511</v>
      </c>
      <c r="F520" s="153" t="s">
        <v>507</v>
      </c>
    </row>
    <row r="521" spans="4:6" hidden="1" outlineLevel="1">
      <c r="D521" s="182" t="s">
        <v>512</v>
      </c>
      <c r="E521" s="153" t="s">
        <v>513</v>
      </c>
      <c r="F521" s="153" t="s">
        <v>507</v>
      </c>
    </row>
    <row r="522" spans="4:6" hidden="1" outlineLevel="1">
      <c r="D522" s="182" t="s">
        <v>515</v>
      </c>
      <c r="E522" s="153" t="s">
        <v>516</v>
      </c>
      <c r="F522" s="153" t="s">
        <v>514</v>
      </c>
    </row>
    <row r="523" spans="4:6" hidden="1" outlineLevel="1">
      <c r="D523" s="182" t="s">
        <v>517</v>
      </c>
      <c r="E523" s="153" t="s">
        <v>518</v>
      </c>
      <c r="F523" s="153" t="s">
        <v>514</v>
      </c>
    </row>
    <row r="524" spans="4:6" hidden="1" outlineLevel="1">
      <c r="D524" s="182" t="s">
        <v>520</v>
      </c>
      <c r="E524" s="153" t="s">
        <v>521</v>
      </c>
      <c r="F524" s="153" t="s">
        <v>519</v>
      </c>
    </row>
    <row r="525" spans="4:6" hidden="1" outlineLevel="1">
      <c r="D525" s="182" t="s">
        <v>523</v>
      </c>
      <c r="E525" s="153" t="s">
        <v>524</v>
      </c>
      <c r="F525" s="153" t="s">
        <v>522</v>
      </c>
    </row>
    <row r="526" spans="4:6" hidden="1" outlineLevel="1">
      <c r="D526" s="182" t="s">
        <v>525</v>
      </c>
      <c r="E526" s="153" t="s">
        <v>526</v>
      </c>
      <c r="F526" s="153" t="s">
        <v>522</v>
      </c>
    </row>
    <row r="527" spans="4:6" hidden="1" outlineLevel="1">
      <c r="D527" s="182" t="s">
        <v>527</v>
      </c>
      <c r="E527" s="153" t="s">
        <v>528</v>
      </c>
      <c r="F527" s="153" t="s">
        <v>522</v>
      </c>
    </row>
    <row r="528" spans="4:6" hidden="1" outlineLevel="1">
      <c r="D528" s="182" t="s">
        <v>529</v>
      </c>
      <c r="E528" s="153" t="s">
        <v>530</v>
      </c>
      <c r="F528" s="153" t="s">
        <v>522</v>
      </c>
    </row>
    <row r="529" spans="2:7" hidden="1" outlineLevel="1">
      <c r="D529" s="182" t="s">
        <v>531</v>
      </c>
      <c r="E529" s="153" t="s">
        <v>532</v>
      </c>
      <c r="F529" s="153" t="s">
        <v>544</v>
      </c>
    </row>
    <row r="530" spans="2:7" hidden="1" outlineLevel="1">
      <c r="D530" s="182" t="s">
        <v>533</v>
      </c>
      <c r="E530" s="153" t="s">
        <v>534</v>
      </c>
      <c r="F530" s="153" t="s">
        <v>544</v>
      </c>
    </row>
    <row r="531" spans="2:7" hidden="1" outlineLevel="1">
      <c r="D531" s="182" t="s">
        <v>535</v>
      </c>
      <c r="E531" s="153" t="s">
        <v>536</v>
      </c>
      <c r="F531" s="153" t="s">
        <v>544</v>
      </c>
    </row>
    <row r="532" spans="2:7" hidden="1" outlineLevel="1">
      <c r="D532" s="182" t="s">
        <v>537</v>
      </c>
      <c r="E532" s="153" t="s">
        <v>538</v>
      </c>
      <c r="F532" s="153" t="s">
        <v>545</v>
      </c>
    </row>
    <row r="533" spans="2:7" hidden="1" outlineLevel="1">
      <c r="D533" s="182" t="s">
        <v>539</v>
      </c>
      <c r="E533" s="153" t="s">
        <v>540</v>
      </c>
      <c r="F533" s="153" t="s">
        <v>545</v>
      </c>
    </row>
    <row r="534" spans="2:7" hidden="1" outlineLevel="1">
      <c r="D534" s="182" t="s">
        <v>542</v>
      </c>
      <c r="E534" s="153" t="s">
        <v>543</v>
      </c>
      <c r="F534" s="153" t="s">
        <v>541</v>
      </c>
    </row>
    <row r="535" spans="2:7" hidden="1" outlineLevel="1">
      <c r="D535" s="182" t="s">
        <v>546</v>
      </c>
      <c r="E535" s="153" t="s">
        <v>547</v>
      </c>
      <c r="F535" s="153" t="s">
        <v>541</v>
      </c>
    </row>
    <row r="536" spans="2:7" hidden="1" outlineLevel="1">
      <c r="D536" s="182" t="s">
        <v>548</v>
      </c>
      <c r="E536" s="153" t="s">
        <v>549</v>
      </c>
      <c r="F536" s="153" t="s">
        <v>541</v>
      </c>
    </row>
    <row r="537" spans="2:7" hidden="1" outlineLevel="1">
      <c r="D537" s="182" t="s">
        <v>551</v>
      </c>
      <c r="E537" s="153" t="s">
        <v>552</v>
      </c>
      <c r="F537" s="153" t="s">
        <v>550</v>
      </c>
    </row>
    <row r="538" spans="2:7" hidden="1" outlineLevel="1">
      <c r="D538" s="182" t="s">
        <v>554</v>
      </c>
      <c r="E538" s="153" t="s">
        <v>555</v>
      </c>
      <c r="F538" s="153" t="s">
        <v>553</v>
      </c>
    </row>
    <row r="539" spans="2:7" hidden="1" outlineLevel="1">
      <c r="D539" s="153"/>
      <c r="E539" s="153"/>
      <c r="F539" s="153" t="s">
        <v>553</v>
      </c>
    </row>
    <row r="540" spans="2:7" hidden="1" outlineLevel="1"/>
    <row r="541" spans="2:7" hidden="1" outlineLevel="1"/>
    <row r="542" spans="2:7" ht="18" hidden="1" outlineLevel="1">
      <c r="B542" s="47" t="s">
        <v>567</v>
      </c>
    </row>
    <row r="543" spans="2:7" hidden="1" outlineLevel="1">
      <c r="D543" s="42" t="s">
        <v>568</v>
      </c>
      <c r="E543" s="42" t="s">
        <v>569</v>
      </c>
    </row>
    <row r="544" spans="2:7" hidden="1" outlineLevel="1">
      <c r="D544" s="182" t="s">
        <v>570</v>
      </c>
      <c r="E544" s="153" t="s">
        <v>571</v>
      </c>
      <c r="F544" s="153"/>
      <c r="G544" s="153" t="s">
        <v>636</v>
      </c>
    </row>
    <row r="545" spans="2:7" hidden="1" outlineLevel="1">
      <c r="D545" s="182" t="s">
        <v>570</v>
      </c>
      <c r="E545" s="153" t="s">
        <v>572</v>
      </c>
      <c r="F545" s="153"/>
      <c r="G545" s="153"/>
    </row>
    <row r="546" spans="2:7" hidden="1" outlineLevel="1">
      <c r="D546" s="182" t="s">
        <v>573</v>
      </c>
      <c r="E546" s="153" t="s">
        <v>574</v>
      </c>
      <c r="F546" s="153"/>
      <c r="G546" s="153"/>
    </row>
    <row r="547" spans="2:7" hidden="1" outlineLevel="1">
      <c r="D547" s="182" t="s">
        <v>575</v>
      </c>
      <c r="E547" s="153" t="s">
        <v>576</v>
      </c>
      <c r="F547" s="153"/>
      <c r="G547" s="153"/>
    </row>
    <row r="548" spans="2:7" hidden="1" outlineLevel="1">
      <c r="D548" s="182" t="s">
        <v>577</v>
      </c>
      <c r="E548" s="153" t="s">
        <v>578</v>
      </c>
      <c r="F548" s="153"/>
      <c r="G548" s="153"/>
    </row>
    <row r="549" spans="2:7" hidden="1" outlineLevel="1">
      <c r="D549" s="182" t="s">
        <v>577</v>
      </c>
      <c r="E549" s="153" t="s">
        <v>579</v>
      </c>
      <c r="F549" s="153" t="s">
        <v>629</v>
      </c>
      <c r="G549" s="153" t="s">
        <v>635</v>
      </c>
    </row>
    <row r="550" spans="2:7" hidden="1" outlineLevel="1">
      <c r="D550" s="182" t="s">
        <v>577</v>
      </c>
      <c r="E550" s="153" t="s">
        <v>580</v>
      </c>
      <c r="F550" s="153" t="s">
        <v>630</v>
      </c>
      <c r="G550" s="153"/>
    </row>
    <row r="551" spans="2:7" hidden="1" outlineLevel="1">
      <c r="D551" s="182" t="s">
        <v>577</v>
      </c>
      <c r="E551" s="153" t="s">
        <v>581</v>
      </c>
      <c r="F551" s="153" t="s">
        <v>631</v>
      </c>
      <c r="G551" s="153"/>
    </row>
    <row r="552" spans="2:7" hidden="1" outlineLevel="1">
      <c r="D552" s="182" t="s">
        <v>577</v>
      </c>
      <c r="E552" s="153" t="s">
        <v>582</v>
      </c>
      <c r="F552" s="153" t="s">
        <v>632</v>
      </c>
      <c r="G552" s="153"/>
    </row>
    <row r="553" spans="2:7" hidden="1" outlineLevel="1">
      <c r="D553" s="182" t="s">
        <v>577</v>
      </c>
      <c r="E553" s="153" t="s">
        <v>583</v>
      </c>
      <c r="F553" s="153" t="s">
        <v>633</v>
      </c>
      <c r="G553" s="153"/>
    </row>
    <row r="554" spans="2:7" hidden="1" outlineLevel="1">
      <c r="D554" s="182" t="s">
        <v>584</v>
      </c>
      <c r="E554" s="153" t="s">
        <v>585</v>
      </c>
      <c r="F554" s="153" t="s">
        <v>634</v>
      </c>
      <c r="G554" s="153"/>
    </row>
    <row r="555" spans="2:7" hidden="1" outlineLevel="1">
      <c r="B555" s="42" t="s">
        <v>654</v>
      </c>
    </row>
    <row r="556" spans="2:7" hidden="1" outlineLevel="1">
      <c r="D556" s="153" t="s">
        <v>252</v>
      </c>
      <c r="E556" s="153" t="s">
        <v>116</v>
      </c>
    </row>
    <row r="557" spans="2:7" hidden="1" outlineLevel="1">
      <c r="D557" s="182" t="s">
        <v>573</v>
      </c>
      <c r="E557" s="153" t="s">
        <v>144</v>
      </c>
    </row>
    <row r="558" spans="2:7" hidden="1" outlineLevel="1">
      <c r="D558" s="182" t="s">
        <v>575</v>
      </c>
      <c r="E558" s="153" t="s">
        <v>146</v>
      </c>
    </row>
    <row r="559" spans="2:7" hidden="1" outlineLevel="1">
      <c r="D559" s="182" t="s">
        <v>638</v>
      </c>
      <c r="E559" s="153" t="s">
        <v>637</v>
      </c>
    </row>
    <row r="560" spans="2:7" hidden="1" outlineLevel="1">
      <c r="D560" s="182" t="s">
        <v>639</v>
      </c>
      <c r="E560" s="153" t="s">
        <v>640</v>
      </c>
    </row>
    <row r="561" spans="4:5" hidden="1" outlineLevel="1">
      <c r="D561" s="182" t="s">
        <v>641</v>
      </c>
      <c r="E561" s="153" t="s">
        <v>642</v>
      </c>
    </row>
    <row r="562" spans="4:5" hidden="1" outlineLevel="1">
      <c r="D562" s="181"/>
    </row>
    <row r="563" spans="4:5" hidden="1" outlineLevel="1">
      <c r="D563" s="181"/>
    </row>
    <row r="564" spans="4:5" collapsed="1">
      <c r="D564" s="181"/>
    </row>
    <row r="565" spans="4:5">
      <c r="D565" s="181"/>
    </row>
    <row r="566" spans="4:5">
      <c r="D566" s="181"/>
    </row>
    <row r="567" spans="4:5">
      <c r="D567" s="181"/>
    </row>
  </sheetData>
  <dataConsolidate/>
  <mergeCells count="15">
    <mergeCell ref="D19:H19"/>
    <mergeCell ref="G31:I31"/>
    <mergeCell ref="G34:I34"/>
    <mergeCell ref="G37:I37"/>
    <mergeCell ref="G53:I53"/>
    <mergeCell ref="G49:I49"/>
    <mergeCell ref="F256:I256"/>
    <mergeCell ref="G57:I57"/>
    <mergeCell ref="K57:L57"/>
    <mergeCell ref="G39:I39"/>
    <mergeCell ref="G65:I65"/>
    <mergeCell ref="H127:J127"/>
    <mergeCell ref="G69:L70"/>
    <mergeCell ref="K49:L49"/>
    <mergeCell ref="K53:L53"/>
  </mergeCells>
  <phoneticPr fontId="1"/>
  <dataValidations count="12">
    <dataValidation type="list" allowBlank="1" showInputMessage="1" showErrorMessage="1" sqref="F87">
      <formula1>$D$321:$E$321</formula1>
    </dataValidation>
    <dataValidation type="list" allowBlank="1" showInputMessage="1" showErrorMessage="1" sqref="G34:I34">
      <formula1>$C$368:$C$375</formula1>
    </dataValidation>
    <dataValidation type="list" allowBlank="1" showInputMessage="1" showErrorMessage="1" sqref="G53:I53 G57:I57 G49:I49">
      <formula1>$D$470:$D$538</formula1>
    </dataValidation>
    <dataValidation type="list" allowBlank="1" showInputMessage="1" showErrorMessage="1" sqref="G31:I31">
      <formula1>$C$355:$C$363</formula1>
    </dataValidation>
    <dataValidation type="list" allowBlank="1" showInputMessage="1" showErrorMessage="1" sqref="G37:I37">
      <formula1>INDIRECT($M$375)</formula1>
    </dataValidation>
    <dataValidation type="list" allowBlank="1" showInputMessage="1" showErrorMessage="1" sqref="G39:I39">
      <formula1>INDIRECT($M$376)</formula1>
    </dataValidation>
    <dataValidation type="list" allowBlank="1" showInputMessage="1" showErrorMessage="1" sqref="G65:I65">
      <formula1>$D$557:$D$561</formula1>
    </dataValidation>
    <dataValidation type="list" allowBlank="1" showInputMessage="1" showErrorMessage="1" sqref="M16:M17">
      <formula1>$C$260:$D$260</formula1>
    </dataValidation>
    <dataValidation type="list" allowBlank="1" showInputMessage="1" showErrorMessage="1" sqref="M26:M27">
      <formula1>$C$279:$D$279</formula1>
    </dataValidation>
    <dataValidation type="list" allowBlank="1" showInputMessage="1" showErrorMessage="1" sqref="M46">
      <formula1>$C$289:$F$289</formula1>
    </dataValidation>
    <dataValidation type="list" allowBlank="1" showInputMessage="1" showErrorMessage="1" sqref="G63">
      <formula1>$C$301:$D$301</formula1>
    </dataValidation>
    <dataValidation type="list" allowBlank="1" showInputMessage="1" showErrorMessage="1" sqref="G67">
      <formula1>$C$303:$D$303</formula1>
    </dataValidation>
  </dataValidations>
  <hyperlinks>
    <hyperlink ref="C6" r:id="rId1"/>
  </hyperlinks>
  <pageMargins left="0.7" right="0.7" top="0.75" bottom="0.75" header="0.3" footer="0.3"/>
  <pageSetup paperSize="9" orientation="portrait" horizontalDpi="300" verticalDpi="300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5770E778DE1941A92ACC48E7E5E3F3" ma:contentTypeVersion="3" ma:contentTypeDescription="Create a new document." ma:contentTypeScope="" ma:versionID="572402d5eb83c0d2db8c1751022d79c9">
  <xsd:schema xmlns:xsd="http://www.w3.org/2001/XMLSchema" xmlns:p="http://schemas.microsoft.com/office/2006/metadata/properties" xmlns:ns2="3dd8d9d4-fe98-4e28-a5c7-6ac42342188f" targetNamespace="http://schemas.microsoft.com/office/2006/metadata/properties" ma:root="true" ma:fieldsID="0be17c1f833926c4cc9ae1e36d116c91" ns2:_="">
    <xsd:import namespace="3dd8d9d4-fe98-4e28-a5c7-6ac42342188f"/>
    <xsd:element name="properties">
      <xsd:complexType>
        <xsd:sequence>
          <xsd:element name="documentManagement">
            <xsd:complexType>
              <xsd:all>
                <xsd:element ref="ns2:_x9867__x5ba2__x63d0__x51fa_"/>
                <xsd:element ref="ns2:_x63d0__x4f9b__x8005__x306e__x30b3__x30e1__x30f3__x30c8_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3dd8d9d4-fe98-4e28-a5c7-6ac42342188f" elementFormDefault="qualified">
    <xsd:import namespace="http://schemas.microsoft.com/office/2006/documentManagement/types"/>
    <xsd:element name="_x9867__x5ba2__x63d0__x51fa_" ma:index="8" ma:displayName="顧客提出" ma:default="-" ma:format="Dropdown" ma:internalName="_x9867__x5ba2__x63d0__x51fa_">
      <xsd:simpleType>
        <xsd:restriction base="dms:Choice">
          <xsd:enumeration value="-"/>
          <xsd:enumeration value="可能"/>
          <xsd:enumeration value="不可"/>
          <xsd:enumeration value="条件付で"/>
        </xsd:restriction>
      </xsd:simpleType>
    </xsd:element>
    <xsd:element name="_x63d0__x4f9b__x8005__x306e__x30b3__x30e1__x30f3__x30c8_" ma:index="9" nillable="true" ma:displayName="提供者のコメント" ma:description="顧客提出の条件等" ma:internalName="_x63d0__x4f9b__x8005__x306e__x30b3__x30e1__x30f3__x30c8_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_x9867__x5ba2__x63d0__x51fa_ xmlns="3dd8d9d4-fe98-4e28-a5c7-6ac42342188f">可能</_x9867__x5ba2__x63d0__x51fa_>
    <_x63d0__x4f9b__x8005__x306e__x30b3__x30e1__x30f3__x30c8_ xmlns="3dd8d9d4-fe98-4e28-a5c7-6ac42342188f" xsi:nil="true"/>
  </documentManagement>
</p:properties>
</file>

<file path=customXml/itemProps1.xml><?xml version="1.0" encoding="utf-8"?>
<ds:datastoreItem xmlns:ds="http://schemas.openxmlformats.org/officeDocument/2006/customXml" ds:itemID="{AE296CDB-ECBF-40EA-BADE-51B654DD0B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d8d9d4-fe98-4e28-a5c7-6ac42342188f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EEA9268-DEBA-4E65-AC5B-D120BE0A1D3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F065BD3-9BC0-45A9-83A7-7D6C156966D1}">
  <ds:schemaRefs>
    <ds:schemaRef ds:uri="http://schemas.microsoft.com/office/2006/metadata/properties"/>
    <ds:schemaRef ds:uri="3dd8d9d4-fe98-4e28-a5c7-6ac42342188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Top_page</vt:lpstr>
      <vt:lpstr>WiFi</vt:lpstr>
      <vt:lpstr>BasicTag</vt:lpstr>
      <vt:lpstr>Bluetooth</vt:lpstr>
      <vt:lpstr>Bluetooth!MJ_00</vt:lpstr>
      <vt:lpstr>Bluetooth!MJ_01</vt:lpstr>
      <vt:lpstr>Bluetooth!MJ_02</vt:lpstr>
      <vt:lpstr>Bluetooth!MJ_04</vt:lpstr>
      <vt:lpstr>Bluetooth!MJ_05</vt:lpstr>
      <vt:lpstr>Bluetooth!MJ_06</vt:lpstr>
      <vt:lpstr>Bluetooth!MJ2_05</vt:lpstr>
      <vt:lpstr>Bluetooth!MJ2_Other</vt:lpstr>
    </vt:vector>
  </TitlesOfParts>
  <Company>Texas Instruments,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Ishizaki, Masakatsu</dc:creator>
  <cp:lastModifiedBy>LaCost, Eddie</cp:lastModifiedBy>
  <dcterms:created xsi:type="dcterms:W3CDTF">2013-03-01T00:20:35Z</dcterms:created>
  <dcterms:modified xsi:type="dcterms:W3CDTF">2014-02-21T15:30:10Z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0x0101006F5770E778DE1941A92ACC48E7E5E3F3</vt:lpwstr>
  </property>
</Properties>
</file>